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filterPrivacy="1" hidePivotFieldList="1" showPivotChartFilter="1" defaultThemeVersion="124226"/>
  <xr:revisionPtr revIDLastSave="0" documentId="8_{1D309F28-C63E-45E0-800A-BEE525C79722}" xr6:coauthVersionLast="47" xr6:coauthVersionMax="47" xr10:uidLastSave="{00000000-0000-0000-0000-000000000000}"/>
  <bookViews>
    <workbookView xWindow="-110" yWindow="-110" windowWidth="19420" windowHeight="10420" activeTab="1" xr2:uid="{00000000-000D-0000-FFFF-FFFF00000000}"/>
  </bookViews>
  <sheets>
    <sheet name="Events" sheetId="1" r:id="rId1"/>
    <sheet name="Pivot" sheetId="6" r:id="rId2"/>
    <sheet name="Calculation " sheetId="7" r:id="rId3"/>
    <sheet name="Descriptions" sheetId="2" r:id="rId4"/>
    <sheet name="Margins" sheetId="4" r:id="rId5"/>
  </sheets>
  <definedNames>
    <definedName name="_xlnm._FilterDatabase" localSheetId="0" hidden="1">Events!$A$1:$K$493</definedName>
  </definedNames>
  <calcPr calcId="191029"/>
  <pivotCaches>
    <pivotCache cacheId="0" r:id="rId6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N2" i="1" l="1"/>
  <c r="B9" i="7" a="1"/>
  <c r="B9" i="7" s="1"/>
  <c r="C9" i="7"/>
  <c r="B8" i="7" a="1"/>
  <c r="B8" i="7" s="1"/>
  <c r="B7" i="7" a="1"/>
  <c r="B7" i="7" s="1"/>
  <c r="B6" i="7" a="1"/>
  <c r="B6" i="7" s="1"/>
  <c r="B5" i="7" a="1"/>
  <c r="B5" i="7" s="1"/>
  <c r="B4" i="7" a="1"/>
  <c r="B4" i="7" s="1"/>
  <c r="B3" i="7" a="1"/>
  <c r="B3" i="7" s="1"/>
  <c r="B2" i="7" a="1"/>
  <c r="B2" i="7" s="1"/>
  <c r="C8" i="7" a="1"/>
  <c r="C8" i="7" s="1"/>
  <c r="C7" i="7" a="1"/>
  <c r="C7" i="7" s="1"/>
  <c r="C6" i="7" a="1"/>
  <c r="C6" i="7" s="1"/>
  <c r="C5" i="7" a="1"/>
  <c r="C5" i="7" s="1"/>
  <c r="C4" i="7" a="1"/>
  <c r="C4" i="7" s="1"/>
  <c r="C3" i="7" a="1"/>
  <c r="C3" i="7" s="1"/>
  <c r="C2" i="7" a="1"/>
  <c r="C2" i="7" s="1"/>
  <c r="J2" i="1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166" i="1"/>
  <c r="J167" i="1"/>
  <c r="J168" i="1"/>
  <c r="J169" i="1"/>
  <c r="J170" i="1"/>
  <c r="J171" i="1"/>
  <c r="J172" i="1"/>
  <c r="J173" i="1"/>
  <c r="J174" i="1"/>
  <c r="J175" i="1"/>
  <c r="J176" i="1"/>
  <c r="J177" i="1"/>
  <c r="J178" i="1"/>
  <c r="J179" i="1"/>
  <c r="J180" i="1"/>
  <c r="J181" i="1"/>
  <c r="J182" i="1"/>
  <c r="J183" i="1"/>
  <c r="J184" i="1"/>
  <c r="J185" i="1"/>
  <c r="J186" i="1"/>
  <c r="J187" i="1"/>
  <c r="J188" i="1"/>
  <c r="J189" i="1"/>
  <c r="J190" i="1"/>
  <c r="J191" i="1"/>
  <c r="J192" i="1"/>
  <c r="J193" i="1"/>
  <c r="J194" i="1"/>
  <c r="J195" i="1"/>
  <c r="J196" i="1"/>
  <c r="J197" i="1"/>
  <c r="J198" i="1"/>
  <c r="J199" i="1"/>
  <c r="J200" i="1"/>
  <c r="J201" i="1"/>
  <c r="J202" i="1"/>
  <c r="J203" i="1"/>
  <c r="J204" i="1"/>
  <c r="J205" i="1"/>
  <c r="J206" i="1"/>
  <c r="J207" i="1"/>
  <c r="J208" i="1"/>
  <c r="J209" i="1"/>
  <c r="J210" i="1"/>
  <c r="J211" i="1"/>
  <c r="J212" i="1"/>
  <c r="J213" i="1"/>
  <c r="J214" i="1"/>
  <c r="J215" i="1"/>
  <c r="J216" i="1"/>
  <c r="J217" i="1"/>
  <c r="J218" i="1"/>
  <c r="J219" i="1"/>
  <c r="J220" i="1"/>
  <c r="J221" i="1"/>
  <c r="J222" i="1"/>
  <c r="J223" i="1"/>
  <c r="J224" i="1"/>
  <c r="J225" i="1"/>
  <c r="J226" i="1"/>
  <c r="J227" i="1"/>
  <c r="J228" i="1"/>
  <c r="J229" i="1"/>
  <c r="J230" i="1"/>
  <c r="J231" i="1"/>
  <c r="J232" i="1"/>
  <c r="J233" i="1"/>
  <c r="J234" i="1"/>
  <c r="J235" i="1"/>
  <c r="J236" i="1"/>
  <c r="J237" i="1"/>
  <c r="J238" i="1"/>
  <c r="J239" i="1"/>
  <c r="J240" i="1"/>
  <c r="J241" i="1"/>
  <c r="J242" i="1"/>
  <c r="J243" i="1"/>
  <c r="J244" i="1"/>
  <c r="J245" i="1"/>
  <c r="J246" i="1"/>
  <c r="J247" i="1"/>
  <c r="J248" i="1"/>
  <c r="J249" i="1"/>
  <c r="J250" i="1"/>
  <c r="J251" i="1"/>
  <c r="J252" i="1"/>
  <c r="J253" i="1"/>
  <c r="J254" i="1"/>
  <c r="J255" i="1"/>
  <c r="J256" i="1"/>
  <c r="J257" i="1"/>
  <c r="J258" i="1"/>
  <c r="J259" i="1"/>
  <c r="J260" i="1"/>
  <c r="J261" i="1"/>
  <c r="J262" i="1"/>
  <c r="J263" i="1"/>
  <c r="J264" i="1"/>
  <c r="J265" i="1"/>
  <c r="J266" i="1"/>
  <c r="J267" i="1"/>
  <c r="J268" i="1"/>
  <c r="J269" i="1"/>
  <c r="J270" i="1"/>
  <c r="J271" i="1"/>
  <c r="J272" i="1"/>
  <c r="J273" i="1"/>
  <c r="J274" i="1"/>
  <c r="J275" i="1"/>
  <c r="J276" i="1"/>
  <c r="J277" i="1"/>
  <c r="J278" i="1"/>
  <c r="J279" i="1"/>
  <c r="J280" i="1"/>
  <c r="J281" i="1"/>
  <c r="J282" i="1"/>
  <c r="J283" i="1"/>
  <c r="J284" i="1"/>
  <c r="J285" i="1"/>
  <c r="J286" i="1"/>
  <c r="J287" i="1"/>
  <c r="J288" i="1"/>
  <c r="J289" i="1"/>
  <c r="J290" i="1"/>
  <c r="J291" i="1"/>
  <c r="J292" i="1"/>
  <c r="J293" i="1"/>
  <c r="J294" i="1"/>
  <c r="J295" i="1"/>
  <c r="J296" i="1"/>
  <c r="J297" i="1"/>
  <c r="J298" i="1"/>
  <c r="J299" i="1"/>
  <c r="J300" i="1"/>
  <c r="J301" i="1"/>
  <c r="J302" i="1"/>
  <c r="J303" i="1"/>
  <c r="J304" i="1"/>
  <c r="J305" i="1"/>
  <c r="J306" i="1"/>
  <c r="J307" i="1"/>
  <c r="J308" i="1"/>
  <c r="J309" i="1"/>
  <c r="J310" i="1"/>
  <c r="J311" i="1"/>
  <c r="J312" i="1"/>
  <c r="J313" i="1"/>
  <c r="J314" i="1"/>
  <c r="J315" i="1"/>
  <c r="J316" i="1"/>
  <c r="J317" i="1"/>
  <c r="J318" i="1"/>
  <c r="J319" i="1"/>
  <c r="J320" i="1"/>
  <c r="J321" i="1"/>
  <c r="J322" i="1"/>
  <c r="J323" i="1"/>
  <c r="J324" i="1"/>
  <c r="J325" i="1"/>
  <c r="J326" i="1"/>
  <c r="J327" i="1"/>
  <c r="J328" i="1"/>
  <c r="J329" i="1"/>
  <c r="J330" i="1"/>
  <c r="J331" i="1"/>
  <c r="J332" i="1"/>
  <c r="J333" i="1"/>
  <c r="J334" i="1"/>
  <c r="J335" i="1"/>
  <c r="J336" i="1"/>
  <c r="J337" i="1"/>
  <c r="J338" i="1"/>
  <c r="J339" i="1"/>
  <c r="J340" i="1"/>
  <c r="J341" i="1"/>
  <c r="J342" i="1"/>
  <c r="J343" i="1"/>
  <c r="J344" i="1"/>
  <c r="J345" i="1"/>
  <c r="J346" i="1"/>
  <c r="J347" i="1"/>
  <c r="J348" i="1"/>
  <c r="J349" i="1"/>
  <c r="J350" i="1"/>
  <c r="J351" i="1"/>
  <c r="J352" i="1"/>
  <c r="J353" i="1"/>
  <c r="J354" i="1"/>
  <c r="J355" i="1"/>
  <c r="J356" i="1"/>
  <c r="J357" i="1"/>
  <c r="J358" i="1"/>
  <c r="J359" i="1"/>
  <c r="J360" i="1"/>
  <c r="J361" i="1"/>
  <c r="J362" i="1"/>
  <c r="J363" i="1"/>
  <c r="J364" i="1"/>
  <c r="J365" i="1"/>
  <c r="J366" i="1"/>
  <c r="J367" i="1"/>
  <c r="J368" i="1"/>
  <c r="J369" i="1"/>
  <c r="J370" i="1"/>
  <c r="J371" i="1"/>
  <c r="J372" i="1"/>
  <c r="J373" i="1"/>
  <c r="J374" i="1"/>
  <c r="J375" i="1"/>
  <c r="J376" i="1"/>
  <c r="J377" i="1"/>
  <c r="J378" i="1"/>
  <c r="J379" i="1"/>
  <c r="J380" i="1"/>
  <c r="J381" i="1"/>
  <c r="J382" i="1"/>
  <c r="J383" i="1"/>
  <c r="J384" i="1"/>
  <c r="J385" i="1"/>
  <c r="J386" i="1"/>
  <c r="J387" i="1"/>
  <c r="J388" i="1"/>
  <c r="J389" i="1"/>
  <c r="J390" i="1"/>
  <c r="J391" i="1"/>
  <c r="J392" i="1"/>
  <c r="J393" i="1"/>
  <c r="J394" i="1"/>
  <c r="J395" i="1"/>
  <c r="J396" i="1"/>
  <c r="J397" i="1"/>
  <c r="J398" i="1"/>
  <c r="J399" i="1"/>
  <c r="J400" i="1"/>
  <c r="J401" i="1"/>
  <c r="J402" i="1"/>
  <c r="J403" i="1"/>
  <c r="J404" i="1"/>
  <c r="J405" i="1"/>
  <c r="J406" i="1"/>
  <c r="J407" i="1"/>
  <c r="J408" i="1"/>
  <c r="J409" i="1"/>
  <c r="J410" i="1"/>
  <c r="J411" i="1"/>
  <c r="J412" i="1"/>
  <c r="J413" i="1"/>
  <c r="J414" i="1"/>
  <c r="J415" i="1"/>
  <c r="J416" i="1"/>
  <c r="J417" i="1"/>
  <c r="J418" i="1"/>
  <c r="J419" i="1"/>
  <c r="J420" i="1"/>
  <c r="J421" i="1"/>
  <c r="J422" i="1"/>
  <c r="J423" i="1"/>
  <c r="J424" i="1"/>
  <c r="J425" i="1"/>
  <c r="J426" i="1"/>
  <c r="J427" i="1"/>
  <c r="J428" i="1"/>
  <c r="J429" i="1"/>
  <c r="J430" i="1"/>
  <c r="J431" i="1"/>
  <c r="J432" i="1"/>
  <c r="J433" i="1"/>
  <c r="J434" i="1"/>
  <c r="J435" i="1"/>
  <c r="J436" i="1"/>
  <c r="J437" i="1"/>
  <c r="J438" i="1"/>
  <c r="J439" i="1"/>
  <c r="J440" i="1"/>
  <c r="J441" i="1"/>
  <c r="J442" i="1"/>
  <c r="J443" i="1"/>
  <c r="J444" i="1"/>
  <c r="J445" i="1"/>
  <c r="J446" i="1"/>
  <c r="J447" i="1"/>
  <c r="J448" i="1"/>
  <c r="J449" i="1"/>
  <c r="J450" i="1"/>
  <c r="J451" i="1"/>
  <c r="J452" i="1"/>
  <c r="J453" i="1"/>
  <c r="J454" i="1"/>
  <c r="J455" i="1"/>
  <c r="J456" i="1"/>
  <c r="J457" i="1"/>
  <c r="J458" i="1"/>
  <c r="J459" i="1"/>
  <c r="J460" i="1"/>
  <c r="J461" i="1"/>
  <c r="J462" i="1"/>
  <c r="J463" i="1"/>
  <c r="J464" i="1"/>
  <c r="J465" i="1"/>
  <c r="J466" i="1"/>
  <c r="J467" i="1"/>
  <c r="J468" i="1"/>
  <c r="J469" i="1"/>
  <c r="J470" i="1"/>
  <c r="J471" i="1"/>
  <c r="J472" i="1"/>
  <c r="J473" i="1"/>
  <c r="J474" i="1"/>
  <c r="J475" i="1"/>
  <c r="J476" i="1"/>
  <c r="J477" i="1"/>
  <c r="J478" i="1"/>
  <c r="J479" i="1"/>
  <c r="J480" i="1"/>
  <c r="J481" i="1"/>
  <c r="J482" i="1"/>
  <c r="J483" i="1"/>
  <c r="J484" i="1"/>
  <c r="J485" i="1"/>
  <c r="J486" i="1"/>
  <c r="J487" i="1"/>
  <c r="J488" i="1"/>
  <c r="J489" i="1"/>
  <c r="J490" i="1"/>
  <c r="J491" i="1"/>
  <c r="J492" i="1"/>
  <c r="J493" i="1"/>
  <c r="G2" i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141" i="1"/>
  <c r="G142" i="1"/>
  <c r="G143" i="1"/>
  <c r="G144" i="1"/>
  <c r="G145" i="1"/>
  <c r="G146" i="1"/>
  <c r="G147" i="1"/>
  <c r="G148" i="1"/>
  <c r="G149" i="1"/>
  <c r="G150" i="1"/>
  <c r="G151" i="1"/>
  <c r="G152" i="1"/>
  <c r="G153" i="1"/>
  <c r="G154" i="1"/>
  <c r="G155" i="1"/>
  <c r="G156" i="1"/>
  <c r="G157" i="1"/>
  <c r="G158" i="1"/>
  <c r="G159" i="1"/>
  <c r="G160" i="1"/>
  <c r="G161" i="1"/>
  <c r="G162" i="1"/>
  <c r="G163" i="1"/>
  <c r="G164" i="1"/>
  <c r="G165" i="1"/>
  <c r="G166" i="1"/>
  <c r="G167" i="1"/>
  <c r="G168" i="1"/>
  <c r="G169" i="1"/>
  <c r="G170" i="1"/>
  <c r="G171" i="1"/>
  <c r="G172" i="1"/>
  <c r="G173" i="1"/>
  <c r="G174" i="1"/>
  <c r="G175" i="1"/>
  <c r="G176" i="1"/>
  <c r="G177" i="1"/>
  <c r="G178" i="1"/>
  <c r="G179" i="1"/>
  <c r="G180" i="1"/>
  <c r="G181" i="1"/>
  <c r="G182" i="1"/>
  <c r="G183" i="1"/>
  <c r="G184" i="1"/>
  <c r="G185" i="1"/>
  <c r="G186" i="1"/>
  <c r="G187" i="1"/>
  <c r="G188" i="1"/>
  <c r="G189" i="1"/>
  <c r="G190" i="1"/>
  <c r="G191" i="1"/>
  <c r="G192" i="1"/>
  <c r="G193" i="1"/>
  <c r="G194" i="1"/>
  <c r="G195" i="1"/>
  <c r="G196" i="1"/>
  <c r="G197" i="1"/>
  <c r="G198" i="1"/>
  <c r="G199" i="1"/>
  <c r="G200" i="1"/>
  <c r="G201" i="1"/>
  <c r="G202" i="1"/>
  <c r="G203" i="1"/>
  <c r="G204" i="1"/>
  <c r="G205" i="1"/>
  <c r="G206" i="1"/>
  <c r="G207" i="1"/>
  <c r="G208" i="1"/>
  <c r="G209" i="1"/>
  <c r="G210" i="1"/>
  <c r="G211" i="1"/>
  <c r="G212" i="1"/>
  <c r="G213" i="1"/>
  <c r="G214" i="1"/>
  <c r="G215" i="1"/>
  <c r="G216" i="1"/>
  <c r="G217" i="1"/>
  <c r="G218" i="1"/>
  <c r="G219" i="1"/>
  <c r="G220" i="1"/>
  <c r="G221" i="1"/>
  <c r="G222" i="1"/>
  <c r="G223" i="1"/>
  <c r="G224" i="1"/>
  <c r="G225" i="1"/>
  <c r="G226" i="1"/>
  <c r="G227" i="1"/>
  <c r="G228" i="1"/>
  <c r="G229" i="1"/>
  <c r="G230" i="1"/>
  <c r="G231" i="1"/>
  <c r="G232" i="1"/>
  <c r="G233" i="1"/>
  <c r="G234" i="1"/>
  <c r="G235" i="1"/>
  <c r="G236" i="1"/>
  <c r="G237" i="1"/>
  <c r="G238" i="1"/>
  <c r="G239" i="1"/>
  <c r="G240" i="1"/>
  <c r="G241" i="1"/>
  <c r="G242" i="1"/>
  <c r="G243" i="1"/>
  <c r="G244" i="1"/>
  <c r="G245" i="1"/>
  <c r="G246" i="1"/>
  <c r="G247" i="1"/>
  <c r="G248" i="1"/>
  <c r="G249" i="1"/>
  <c r="G250" i="1"/>
  <c r="G251" i="1"/>
  <c r="G252" i="1"/>
  <c r="G253" i="1"/>
  <c r="G254" i="1"/>
  <c r="G255" i="1"/>
  <c r="G256" i="1"/>
  <c r="G257" i="1"/>
  <c r="G258" i="1"/>
  <c r="G259" i="1"/>
  <c r="G260" i="1"/>
  <c r="G261" i="1"/>
  <c r="G262" i="1"/>
  <c r="G263" i="1"/>
  <c r="G264" i="1"/>
  <c r="G265" i="1"/>
  <c r="G266" i="1"/>
  <c r="G267" i="1"/>
  <c r="G268" i="1"/>
  <c r="G269" i="1"/>
  <c r="G270" i="1"/>
  <c r="G271" i="1"/>
  <c r="G272" i="1"/>
  <c r="G273" i="1"/>
  <c r="G274" i="1"/>
  <c r="G275" i="1"/>
  <c r="G276" i="1"/>
  <c r="G277" i="1"/>
  <c r="G278" i="1"/>
  <c r="G279" i="1"/>
  <c r="G280" i="1"/>
  <c r="G281" i="1"/>
  <c r="G282" i="1"/>
  <c r="G283" i="1"/>
  <c r="G284" i="1"/>
  <c r="G285" i="1"/>
  <c r="G286" i="1"/>
  <c r="G287" i="1"/>
  <c r="G288" i="1"/>
  <c r="G289" i="1"/>
  <c r="G290" i="1"/>
  <c r="G291" i="1"/>
  <c r="G292" i="1"/>
  <c r="G293" i="1"/>
  <c r="G294" i="1"/>
  <c r="G295" i="1"/>
  <c r="G296" i="1"/>
  <c r="G297" i="1"/>
  <c r="G298" i="1"/>
  <c r="G299" i="1"/>
  <c r="G300" i="1"/>
  <c r="G301" i="1"/>
  <c r="G302" i="1"/>
  <c r="G303" i="1"/>
  <c r="G304" i="1"/>
  <c r="G305" i="1"/>
  <c r="G306" i="1"/>
  <c r="G307" i="1"/>
  <c r="G308" i="1"/>
  <c r="G309" i="1"/>
  <c r="G310" i="1"/>
  <c r="G311" i="1"/>
  <c r="G312" i="1"/>
  <c r="G313" i="1"/>
  <c r="G314" i="1"/>
  <c r="G315" i="1"/>
  <c r="G316" i="1"/>
  <c r="G317" i="1"/>
  <c r="G318" i="1"/>
  <c r="G319" i="1"/>
  <c r="G320" i="1"/>
  <c r="G321" i="1"/>
  <c r="G322" i="1"/>
  <c r="G323" i="1"/>
  <c r="G324" i="1"/>
  <c r="G325" i="1"/>
  <c r="G326" i="1"/>
  <c r="G327" i="1"/>
  <c r="G328" i="1"/>
  <c r="G329" i="1"/>
  <c r="G330" i="1"/>
  <c r="G331" i="1"/>
  <c r="G332" i="1"/>
  <c r="G333" i="1"/>
  <c r="G334" i="1"/>
  <c r="G335" i="1"/>
  <c r="G336" i="1"/>
  <c r="G337" i="1"/>
  <c r="G338" i="1"/>
  <c r="G339" i="1"/>
  <c r="G340" i="1"/>
  <c r="G341" i="1"/>
  <c r="G342" i="1"/>
  <c r="G343" i="1"/>
  <c r="G344" i="1"/>
  <c r="G345" i="1"/>
  <c r="G346" i="1"/>
  <c r="G347" i="1"/>
  <c r="G348" i="1"/>
  <c r="G349" i="1"/>
  <c r="G350" i="1"/>
  <c r="G351" i="1"/>
  <c r="G352" i="1"/>
  <c r="G353" i="1"/>
  <c r="G354" i="1"/>
  <c r="G355" i="1"/>
  <c r="G356" i="1"/>
  <c r="G357" i="1"/>
  <c r="G358" i="1"/>
  <c r="G359" i="1"/>
  <c r="G360" i="1"/>
  <c r="G361" i="1"/>
  <c r="G362" i="1"/>
  <c r="G363" i="1"/>
  <c r="G364" i="1"/>
  <c r="G365" i="1"/>
  <c r="G366" i="1"/>
  <c r="G367" i="1"/>
  <c r="G368" i="1"/>
  <c r="G369" i="1"/>
  <c r="G370" i="1"/>
  <c r="G371" i="1"/>
  <c r="G372" i="1"/>
  <c r="G373" i="1"/>
  <c r="G374" i="1"/>
  <c r="G375" i="1"/>
  <c r="G376" i="1"/>
  <c r="G377" i="1"/>
  <c r="G378" i="1"/>
  <c r="G379" i="1"/>
  <c r="G380" i="1"/>
  <c r="G381" i="1"/>
  <c r="G382" i="1"/>
  <c r="G383" i="1"/>
  <c r="G384" i="1"/>
  <c r="G385" i="1"/>
  <c r="G386" i="1"/>
  <c r="G387" i="1"/>
  <c r="G388" i="1"/>
  <c r="G389" i="1"/>
  <c r="G390" i="1"/>
  <c r="G391" i="1"/>
  <c r="G392" i="1"/>
  <c r="G393" i="1"/>
  <c r="G394" i="1"/>
  <c r="G395" i="1"/>
  <c r="G396" i="1"/>
  <c r="G397" i="1"/>
  <c r="G398" i="1"/>
  <c r="G399" i="1"/>
  <c r="G400" i="1"/>
  <c r="G401" i="1"/>
  <c r="G402" i="1"/>
  <c r="G403" i="1"/>
  <c r="G404" i="1"/>
  <c r="G405" i="1"/>
  <c r="G406" i="1"/>
  <c r="G407" i="1"/>
  <c r="G408" i="1"/>
  <c r="G409" i="1"/>
  <c r="G410" i="1"/>
  <c r="G411" i="1"/>
  <c r="G412" i="1"/>
  <c r="G413" i="1"/>
  <c r="G414" i="1"/>
  <c r="G415" i="1"/>
  <c r="G416" i="1"/>
  <c r="G417" i="1"/>
  <c r="G418" i="1"/>
  <c r="G419" i="1"/>
  <c r="G420" i="1"/>
  <c r="G421" i="1"/>
  <c r="G422" i="1"/>
  <c r="G423" i="1"/>
  <c r="G424" i="1"/>
  <c r="G425" i="1"/>
  <c r="G426" i="1"/>
  <c r="G427" i="1"/>
  <c r="G428" i="1"/>
  <c r="G429" i="1"/>
  <c r="G430" i="1"/>
  <c r="G431" i="1"/>
  <c r="G432" i="1"/>
  <c r="G433" i="1"/>
  <c r="G434" i="1"/>
  <c r="G435" i="1"/>
  <c r="G436" i="1"/>
  <c r="G437" i="1"/>
  <c r="G438" i="1"/>
  <c r="G439" i="1"/>
  <c r="G440" i="1"/>
  <c r="G441" i="1"/>
  <c r="G442" i="1"/>
  <c r="G443" i="1"/>
  <c r="G444" i="1"/>
  <c r="G445" i="1"/>
  <c r="G446" i="1"/>
  <c r="G447" i="1"/>
  <c r="G448" i="1"/>
  <c r="G449" i="1"/>
  <c r="G450" i="1"/>
  <c r="G451" i="1"/>
  <c r="G452" i="1"/>
  <c r="G453" i="1"/>
  <c r="G454" i="1"/>
  <c r="G455" i="1"/>
  <c r="G456" i="1"/>
  <c r="G457" i="1"/>
  <c r="G458" i="1"/>
  <c r="G459" i="1"/>
  <c r="G460" i="1"/>
  <c r="G461" i="1"/>
  <c r="G462" i="1"/>
  <c r="G463" i="1"/>
  <c r="G464" i="1"/>
  <c r="G465" i="1"/>
  <c r="G466" i="1"/>
  <c r="G467" i="1"/>
  <c r="G468" i="1"/>
  <c r="G469" i="1"/>
  <c r="G470" i="1"/>
  <c r="G471" i="1"/>
  <c r="G472" i="1"/>
  <c r="G473" i="1"/>
  <c r="G474" i="1"/>
  <c r="G475" i="1"/>
  <c r="G476" i="1"/>
  <c r="G477" i="1"/>
  <c r="G478" i="1"/>
  <c r="G479" i="1"/>
  <c r="G480" i="1"/>
  <c r="G481" i="1"/>
  <c r="G482" i="1"/>
  <c r="G483" i="1"/>
  <c r="G484" i="1"/>
  <c r="G485" i="1"/>
  <c r="G486" i="1"/>
  <c r="G487" i="1"/>
  <c r="G488" i="1"/>
  <c r="G489" i="1"/>
  <c r="G490" i="1"/>
  <c r="G491" i="1"/>
  <c r="G492" i="1"/>
  <c r="G493" i="1"/>
  <c r="F2" i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183" i="1"/>
  <c r="F184" i="1"/>
  <c r="F185" i="1"/>
  <c r="F186" i="1"/>
  <c r="F187" i="1"/>
  <c r="F188" i="1"/>
  <c r="F189" i="1"/>
  <c r="F190" i="1"/>
  <c r="F191" i="1"/>
  <c r="F192" i="1"/>
  <c r="F193" i="1"/>
  <c r="F194" i="1"/>
  <c r="F195" i="1"/>
  <c r="F196" i="1"/>
  <c r="F197" i="1"/>
  <c r="F198" i="1"/>
  <c r="F199" i="1"/>
  <c r="F200" i="1"/>
  <c r="F201" i="1"/>
  <c r="F202" i="1"/>
  <c r="F203" i="1"/>
  <c r="F204" i="1"/>
  <c r="F205" i="1"/>
  <c r="F206" i="1"/>
  <c r="F207" i="1"/>
  <c r="F208" i="1"/>
  <c r="F209" i="1"/>
  <c r="F210" i="1"/>
  <c r="F211" i="1"/>
  <c r="F212" i="1"/>
  <c r="F213" i="1"/>
  <c r="F214" i="1"/>
  <c r="F215" i="1"/>
  <c r="F216" i="1"/>
  <c r="F217" i="1"/>
  <c r="F218" i="1"/>
  <c r="F219" i="1"/>
  <c r="F220" i="1"/>
  <c r="F221" i="1"/>
  <c r="F222" i="1"/>
  <c r="F223" i="1"/>
  <c r="F224" i="1"/>
  <c r="F225" i="1"/>
  <c r="F226" i="1"/>
  <c r="F227" i="1"/>
  <c r="F228" i="1"/>
  <c r="F229" i="1"/>
  <c r="F230" i="1"/>
  <c r="F231" i="1"/>
  <c r="F232" i="1"/>
  <c r="F233" i="1"/>
  <c r="F234" i="1"/>
  <c r="F235" i="1"/>
  <c r="F236" i="1"/>
  <c r="F237" i="1"/>
  <c r="F238" i="1"/>
  <c r="F239" i="1"/>
  <c r="F240" i="1"/>
  <c r="F241" i="1"/>
  <c r="F242" i="1"/>
  <c r="F243" i="1"/>
  <c r="F244" i="1"/>
  <c r="F245" i="1"/>
  <c r="F246" i="1"/>
  <c r="F247" i="1"/>
  <c r="F248" i="1"/>
  <c r="F249" i="1"/>
  <c r="F250" i="1"/>
  <c r="F251" i="1"/>
  <c r="F252" i="1"/>
  <c r="F253" i="1"/>
  <c r="F254" i="1"/>
  <c r="F255" i="1"/>
  <c r="F256" i="1"/>
  <c r="F257" i="1"/>
  <c r="F258" i="1"/>
  <c r="F259" i="1"/>
  <c r="F260" i="1"/>
  <c r="F261" i="1"/>
  <c r="F262" i="1"/>
  <c r="F263" i="1"/>
  <c r="F264" i="1"/>
  <c r="F265" i="1"/>
  <c r="F266" i="1"/>
  <c r="F267" i="1"/>
  <c r="F268" i="1"/>
  <c r="F269" i="1"/>
  <c r="F270" i="1"/>
  <c r="F271" i="1"/>
  <c r="F272" i="1"/>
  <c r="F273" i="1"/>
  <c r="F274" i="1"/>
  <c r="F275" i="1"/>
  <c r="F276" i="1"/>
  <c r="F277" i="1"/>
  <c r="F278" i="1"/>
  <c r="F279" i="1"/>
  <c r="F280" i="1"/>
  <c r="F281" i="1"/>
  <c r="F282" i="1"/>
  <c r="F283" i="1"/>
  <c r="F284" i="1"/>
  <c r="F285" i="1"/>
  <c r="F286" i="1"/>
  <c r="F287" i="1"/>
  <c r="F288" i="1"/>
  <c r="F289" i="1"/>
  <c r="F290" i="1"/>
  <c r="F291" i="1"/>
  <c r="F292" i="1"/>
  <c r="F293" i="1"/>
  <c r="F294" i="1"/>
  <c r="F295" i="1"/>
  <c r="F296" i="1"/>
  <c r="F297" i="1"/>
  <c r="F298" i="1"/>
  <c r="F299" i="1"/>
  <c r="F300" i="1"/>
  <c r="F301" i="1"/>
  <c r="F302" i="1"/>
  <c r="F303" i="1"/>
  <c r="F304" i="1"/>
  <c r="F305" i="1"/>
  <c r="F306" i="1"/>
  <c r="F307" i="1"/>
  <c r="F308" i="1"/>
  <c r="F309" i="1"/>
  <c r="F310" i="1"/>
  <c r="F311" i="1"/>
  <c r="F312" i="1"/>
  <c r="F313" i="1"/>
  <c r="F314" i="1"/>
  <c r="F315" i="1"/>
  <c r="F316" i="1"/>
  <c r="F317" i="1"/>
  <c r="F318" i="1"/>
  <c r="F319" i="1"/>
  <c r="F320" i="1"/>
  <c r="F321" i="1"/>
  <c r="F322" i="1"/>
  <c r="F323" i="1"/>
  <c r="F324" i="1"/>
  <c r="F325" i="1"/>
  <c r="F326" i="1"/>
  <c r="F327" i="1"/>
  <c r="F328" i="1"/>
  <c r="F329" i="1"/>
  <c r="F330" i="1"/>
  <c r="F331" i="1"/>
  <c r="F332" i="1"/>
  <c r="F333" i="1"/>
  <c r="F334" i="1"/>
  <c r="F335" i="1"/>
  <c r="F336" i="1"/>
  <c r="F337" i="1"/>
  <c r="F338" i="1"/>
  <c r="F339" i="1"/>
  <c r="F340" i="1"/>
  <c r="F341" i="1"/>
  <c r="F342" i="1"/>
  <c r="F343" i="1"/>
  <c r="F344" i="1"/>
  <c r="F345" i="1"/>
  <c r="F346" i="1"/>
  <c r="F347" i="1"/>
  <c r="F348" i="1"/>
  <c r="F349" i="1"/>
  <c r="F350" i="1"/>
  <c r="F351" i="1"/>
  <c r="F352" i="1"/>
  <c r="F353" i="1"/>
  <c r="F354" i="1"/>
  <c r="F355" i="1"/>
  <c r="F356" i="1"/>
  <c r="F357" i="1"/>
  <c r="F358" i="1"/>
  <c r="F359" i="1"/>
  <c r="F360" i="1"/>
  <c r="F361" i="1"/>
  <c r="F362" i="1"/>
  <c r="F363" i="1"/>
  <c r="F364" i="1"/>
  <c r="F365" i="1"/>
  <c r="F366" i="1"/>
  <c r="F367" i="1"/>
  <c r="F368" i="1"/>
  <c r="F369" i="1"/>
  <c r="F370" i="1"/>
  <c r="F371" i="1"/>
  <c r="F372" i="1"/>
  <c r="F373" i="1"/>
  <c r="F374" i="1"/>
  <c r="F375" i="1"/>
  <c r="F376" i="1"/>
  <c r="F377" i="1"/>
  <c r="F378" i="1"/>
  <c r="F379" i="1"/>
  <c r="F380" i="1"/>
  <c r="F381" i="1"/>
  <c r="F382" i="1"/>
  <c r="F383" i="1"/>
  <c r="F384" i="1"/>
  <c r="F385" i="1"/>
  <c r="F386" i="1"/>
  <c r="F387" i="1"/>
  <c r="F388" i="1"/>
  <c r="F389" i="1"/>
  <c r="F390" i="1"/>
  <c r="F391" i="1"/>
  <c r="F392" i="1"/>
  <c r="F393" i="1"/>
  <c r="F394" i="1"/>
  <c r="F395" i="1"/>
  <c r="F396" i="1"/>
  <c r="F397" i="1"/>
  <c r="F398" i="1"/>
  <c r="F399" i="1"/>
  <c r="F400" i="1"/>
  <c r="F401" i="1"/>
  <c r="F402" i="1"/>
  <c r="F403" i="1"/>
  <c r="F404" i="1"/>
  <c r="F405" i="1"/>
  <c r="F406" i="1"/>
  <c r="F407" i="1"/>
  <c r="F408" i="1"/>
  <c r="F409" i="1"/>
  <c r="F410" i="1"/>
  <c r="F411" i="1"/>
  <c r="F412" i="1"/>
  <c r="F413" i="1"/>
  <c r="F414" i="1"/>
  <c r="F415" i="1"/>
  <c r="F416" i="1"/>
  <c r="F417" i="1"/>
  <c r="F418" i="1"/>
  <c r="F419" i="1"/>
  <c r="F420" i="1"/>
  <c r="F421" i="1"/>
  <c r="F422" i="1"/>
  <c r="F423" i="1"/>
  <c r="F424" i="1"/>
  <c r="F425" i="1"/>
  <c r="F426" i="1"/>
  <c r="F427" i="1"/>
  <c r="F428" i="1"/>
  <c r="F429" i="1"/>
  <c r="F430" i="1"/>
  <c r="F431" i="1"/>
  <c r="F432" i="1"/>
  <c r="F433" i="1"/>
  <c r="F434" i="1"/>
  <c r="F435" i="1"/>
  <c r="F436" i="1"/>
  <c r="F437" i="1"/>
  <c r="F438" i="1"/>
  <c r="F439" i="1"/>
  <c r="F440" i="1"/>
  <c r="F441" i="1"/>
  <c r="F442" i="1"/>
  <c r="F443" i="1"/>
  <c r="F444" i="1"/>
  <c r="F445" i="1"/>
  <c r="F446" i="1"/>
  <c r="F447" i="1"/>
  <c r="F448" i="1"/>
  <c r="F449" i="1"/>
  <c r="F450" i="1"/>
  <c r="F451" i="1"/>
  <c r="F452" i="1"/>
  <c r="F453" i="1"/>
  <c r="F454" i="1"/>
  <c r="F455" i="1"/>
  <c r="F456" i="1"/>
  <c r="F457" i="1"/>
  <c r="F458" i="1"/>
  <c r="F459" i="1"/>
  <c r="F460" i="1"/>
  <c r="F461" i="1"/>
  <c r="F462" i="1"/>
  <c r="F463" i="1"/>
  <c r="F464" i="1"/>
  <c r="F465" i="1"/>
  <c r="F466" i="1"/>
  <c r="F467" i="1"/>
  <c r="F468" i="1"/>
  <c r="F469" i="1"/>
  <c r="F470" i="1"/>
  <c r="F471" i="1"/>
  <c r="F472" i="1"/>
  <c r="F473" i="1"/>
  <c r="F474" i="1"/>
  <c r="F475" i="1"/>
  <c r="F476" i="1"/>
  <c r="F477" i="1"/>
  <c r="F478" i="1"/>
  <c r="F479" i="1"/>
  <c r="F480" i="1"/>
  <c r="F481" i="1"/>
  <c r="F482" i="1"/>
  <c r="F483" i="1"/>
  <c r="F484" i="1"/>
  <c r="F485" i="1"/>
  <c r="F486" i="1"/>
  <c r="F487" i="1"/>
  <c r="F488" i="1"/>
  <c r="F489" i="1"/>
  <c r="F490" i="1"/>
  <c r="F491" i="1"/>
  <c r="F492" i="1"/>
  <c r="F493" i="1"/>
  <c r="O2" i="1"/>
  <c r="O3" i="1"/>
  <c r="O4" i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45" i="1"/>
  <c r="O46" i="1"/>
  <c r="O47" i="1"/>
  <c r="O48" i="1"/>
  <c r="O49" i="1"/>
  <c r="O50" i="1"/>
  <c r="O51" i="1"/>
  <c r="O52" i="1"/>
  <c r="O53" i="1"/>
  <c r="O54" i="1"/>
  <c r="O55" i="1"/>
  <c r="O56" i="1"/>
  <c r="O57" i="1"/>
  <c r="O58" i="1"/>
  <c r="O59" i="1"/>
  <c r="O60" i="1"/>
  <c r="O61" i="1"/>
  <c r="O62" i="1"/>
  <c r="O63" i="1"/>
  <c r="O64" i="1"/>
  <c r="O65" i="1"/>
  <c r="O66" i="1"/>
  <c r="O67" i="1"/>
  <c r="O68" i="1"/>
  <c r="O69" i="1"/>
  <c r="O70" i="1"/>
  <c r="O71" i="1"/>
  <c r="O72" i="1"/>
  <c r="O73" i="1"/>
  <c r="O74" i="1"/>
  <c r="O75" i="1"/>
  <c r="O76" i="1"/>
  <c r="O77" i="1"/>
  <c r="O78" i="1"/>
  <c r="O79" i="1"/>
  <c r="O80" i="1"/>
  <c r="O81" i="1"/>
  <c r="O82" i="1"/>
  <c r="O83" i="1"/>
  <c r="O84" i="1"/>
  <c r="O85" i="1"/>
  <c r="O86" i="1"/>
  <c r="O87" i="1"/>
  <c r="O88" i="1"/>
  <c r="O89" i="1"/>
  <c r="O90" i="1"/>
  <c r="O91" i="1"/>
  <c r="O92" i="1"/>
  <c r="O93" i="1"/>
  <c r="O94" i="1"/>
  <c r="O95" i="1"/>
  <c r="O96" i="1"/>
  <c r="O97" i="1"/>
  <c r="O98" i="1"/>
  <c r="O99" i="1"/>
  <c r="O100" i="1"/>
  <c r="O101" i="1"/>
  <c r="O102" i="1"/>
  <c r="O103" i="1"/>
  <c r="O104" i="1"/>
  <c r="O105" i="1"/>
  <c r="O106" i="1"/>
  <c r="O107" i="1"/>
  <c r="O108" i="1"/>
  <c r="O109" i="1"/>
  <c r="O110" i="1"/>
  <c r="O111" i="1"/>
  <c r="O112" i="1"/>
  <c r="O113" i="1"/>
  <c r="O114" i="1"/>
  <c r="O115" i="1"/>
  <c r="O116" i="1"/>
  <c r="O117" i="1"/>
  <c r="O118" i="1"/>
  <c r="O119" i="1"/>
  <c r="O120" i="1"/>
  <c r="O121" i="1"/>
  <c r="O122" i="1"/>
  <c r="O123" i="1"/>
  <c r="O124" i="1"/>
  <c r="O125" i="1"/>
  <c r="O126" i="1"/>
  <c r="O127" i="1"/>
  <c r="O128" i="1"/>
  <c r="O129" i="1"/>
  <c r="O130" i="1"/>
  <c r="O131" i="1"/>
  <c r="O132" i="1"/>
  <c r="O133" i="1"/>
  <c r="O134" i="1"/>
  <c r="O135" i="1"/>
  <c r="O136" i="1"/>
  <c r="O137" i="1"/>
  <c r="O138" i="1"/>
  <c r="O139" i="1"/>
  <c r="O140" i="1"/>
  <c r="O141" i="1"/>
  <c r="O142" i="1"/>
  <c r="O143" i="1"/>
  <c r="O144" i="1"/>
  <c r="O145" i="1"/>
  <c r="O146" i="1"/>
  <c r="O147" i="1"/>
  <c r="O148" i="1"/>
  <c r="O149" i="1"/>
  <c r="O150" i="1"/>
  <c r="O151" i="1"/>
  <c r="O152" i="1"/>
  <c r="O153" i="1"/>
  <c r="O154" i="1"/>
  <c r="O155" i="1"/>
  <c r="O156" i="1"/>
  <c r="O157" i="1"/>
  <c r="O158" i="1"/>
  <c r="O159" i="1"/>
  <c r="O160" i="1"/>
  <c r="O161" i="1"/>
  <c r="O162" i="1"/>
  <c r="O163" i="1"/>
  <c r="O164" i="1"/>
  <c r="O165" i="1"/>
  <c r="O166" i="1"/>
  <c r="O167" i="1"/>
  <c r="O168" i="1"/>
  <c r="O169" i="1"/>
  <c r="O170" i="1"/>
  <c r="O171" i="1"/>
  <c r="O172" i="1"/>
  <c r="O173" i="1"/>
  <c r="O174" i="1"/>
  <c r="O175" i="1"/>
  <c r="O176" i="1"/>
  <c r="O177" i="1"/>
  <c r="O178" i="1"/>
  <c r="O179" i="1"/>
  <c r="O180" i="1"/>
  <c r="O181" i="1"/>
  <c r="O182" i="1"/>
  <c r="O183" i="1"/>
  <c r="O184" i="1"/>
  <c r="O185" i="1"/>
  <c r="O186" i="1"/>
  <c r="O187" i="1"/>
  <c r="O188" i="1"/>
  <c r="O189" i="1"/>
  <c r="O190" i="1"/>
  <c r="O191" i="1"/>
  <c r="O192" i="1"/>
  <c r="O193" i="1"/>
  <c r="O194" i="1"/>
  <c r="O195" i="1"/>
  <c r="O196" i="1"/>
  <c r="O197" i="1"/>
  <c r="O198" i="1"/>
  <c r="O199" i="1"/>
  <c r="O200" i="1"/>
  <c r="O201" i="1"/>
  <c r="O202" i="1"/>
  <c r="O203" i="1"/>
  <c r="O204" i="1"/>
  <c r="O205" i="1"/>
  <c r="O206" i="1"/>
  <c r="O207" i="1"/>
  <c r="O208" i="1"/>
  <c r="O209" i="1"/>
  <c r="O210" i="1"/>
  <c r="O211" i="1"/>
  <c r="O212" i="1"/>
  <c r="O213" i="1"/>
  <c r="O214" i="1"/>
  <c r="O215" i="1"/>
  <c r="O216" i="1"/>
  <c r="O217" i="1"/>
  <c r="O218" i="1"/>
  <c r="O219" i="1"/>
  <c r="O220" i="1"/>
  <c r="O221" i="1"/>
  <c r="O222" i="1"/>
  <c r="O223" i="1"/>
  <c r="O224" i="1"/>
  <c r="O225" i="1"/>
  <c r="O226" i="1"/>
  <c r="O227" i="1"/>
  <c r="O228" i="1"/>
  <c r="O229" i="1"/>
  <c r="O230" i="1"/>
  <c r="O231" i="1"/>
  <c r="O232" i="1"/>
  <c r="O233" i="1"/>
  <c r="O234" i="1"/>
  <c r="O235" i="1"/>
  <c r="O236" i="1"/>
  <c r="O237" i="1"/>
  <c r="O238" i="1"/>
  <c r="O239" i="1"/>
  <c r="O240" i="1"/>
  <c r="O241" i="1"/>
  <c r="O242" i="1"/>
  <c r="O243" i="1"/>
  <c r="O244" i="1"/>
  <c r="O245" i="1"/>
  <c r="O246" i="1"/>
  <c r="O247" i="1"/>
  <c r="O248" i="1"/>
  <c r="O249" i="1"/>
  <c r="O250" i="1"/>
  <c r="O251" i="1"/>
  <c r="O252" i="1"/>
  <c r="O253" i="1"/>
  <c r="O254" i="1"/>
  <c r="O255" i="1"/>
  <c r="O256" i="1"/>
  <c r="O257" i="1"/>
  <c r="O258" i="1"/>
  <c r="O259" i="1"/>
  <c r="O260" i="1"/>
  <c r="O261" i="1"/>
  <c r="O262" i="1"/>
  <c r="O263" i="1"/>
  <c r="O264" i="1"/>
  <c r="O265" i="1"/>
  <c r="O266" i="1"/>
  <c r="O267" i="1"/>
  <c r="O268" i="1"/>
  <c r="O269" i="1"/>
  <c r="O270" i="1"/>
  <c r="O271" i="1"/>
  <c r="O272" i="1"/>
  <c r="O273" i="1"/>
  <c r="O274" i="1"/>
  <c r="O275" i="1"/>
  <c r="O276" i="1"/>
  <c r="O277" i="1"/>
  <c r="O278" i="1"/>
  <c r="O279" i="1"/>
  <c r="O280" i="1"/>
  <c r="O281" i="1"/>
  <c r="O282" i="1"/>
  <c r="O283" i="1"/>
  <c r="O284" i="1"/>
  <c r="O285" i="1"/>
  <c r="O286" i="1"/>
  <c r="O287" i="1"/>
  <c r="O288" i="1"/>
  <c r="O289" i="1"/>
  <c r="O290" i="1"/>
  <c r="O291" i="1"/>
  <c r="O292" i="1"/>
  <c r="O293" i="1"/>
  <c r="O294" i="1"/>
  <c r="O295" i="1"/>
  <c r="O296" i="1"/>
  <c r="O297" i="1"/>
  <c r="O298" i="1"/>
  <c r="O299" i="1"/>
  <c r="O300" i="1"/>
  <c r="O301" i="1"/>
  <c r="O302" i="1"/>
  <c r="O303" i="1"/>
  <c r="O304" i="1"/>
  <c r="O305" i="1"/>
  <c r="O306" i="1"/>
  <c r="O307" i="1"/>
  <c r="O308" i="1"/>
  <c r="O309" i="1"/>
  <c r="O310" i="1"/>
  <c r="O311" i="1"/>
  <c r="O312" i="1"/>
  <c r="O313" i="1"/>
  <c r="O314" i="1"/>
  <c r="O315" i="1"/>
  <c r="O316" i="1"/>
  <c r="O317" i="1"/>
  <c r="O318" i="1"/>
  <c r="O319" i="1"/>
  <c r="O320" i="1"/>
  <c r="O321" i="1"/>
  <c r="O322" i="1"/>
  <c r="O323" i="1"/>
  <c r="O324" i="1"/>
  <c r="O325" i="1"/>
  <c r="O326" i="1"/>
  <c r="O327" i="1"/>
  <c r="O328" i="1"/>
  <c r="O329" i="1"/>
  <c r="O330" i="1"/>
  <c r="O331" i="1"/>
  <c r="O332" i="1"/>
  <c r="O333" i="1"/>
  <c r="O334" i="1"/>
  <c r="O335" i="1"/>
  <c r="O336" i="1"/>
  <c r="O337" i="1"/>
  <c r="O338" i="1"/>
  <c r="O339" i="1"/>
  <c r="O340" i="1"/>
  <c r="O341" i="1"/>
  <c r="O342" i="1"/>
  <c r="O343" i="1"/>
  <c r="O344" i="1"/>
  <c r="O345" i="1"/>
  <c r="O346" i="1"/>
  <c r="O347" i="1"/>
  <c r="O348" i="1"/>
  <c r="O349" i="1"/>
  <c r="O350" i="1"/>
  <c r="O351" i="1"/>
  <c r="O352" i="1"/>
  <c r="O353" i="1"/>
  <c r="O354" i="1"/>
  <c r="O355" i="1"/>
  <c r="O356" i="1"/>
  <c r="O357" i="1"/>
  <c r="O358" i="1"/>
  <c r="O359" i="1"/>
  <c r="O360" i="1"/>
  <c r="O361" i="1"/>
  <c r="O362" i="1"/>
  <c r="O363" i="1"/>
  <c r="O364" i="1"/>
  <c r="O365" i="1"/>
  <c r="O366" i="1"/>
  <c r="O367" i="1"/>
  <c r="O368" i="1"/>
  <c r="O369" i="1"/>
  <c r="O370" i="1"/>
  <c r="O371" i="1"/>
  <c r="O372" i="1"/>
  <c r="O373" i="1"/>
  <c r="O374" i="1"/>
  <c r="O375" i="1"/>
  <c r="O376" i="1"/>
  <c r="O377" i="1"/>
  <c r="O378" i="1"/>
  <c r="O379" i="1"/>
  <c r="O380" i="1"/>
  <c r="O381" i="1"/>
  <c r="O382" i="1"/>
  <c r="O383" i="1"/>
  <c r="O384" i="1"/>
  <c r="O385" i="1"/>
  <c r="O386" i="1"/>
  <c r="O387" i="1"/>
  <c r="O388" i="1"/>
  <c r="O389" i="1"/>
  <c r="O390" i="1"/>
  <c r="O391" i="1"/>
  <c r="O392" i="1"/>
  <c r="O393" i="1"/>
  <c r="O394" i="1"/>
  <c r="O395" i="1"/>
  <c r="O396" i="1"/>
  <c r="O397" i="1"/>
  <c r="O398" i="1"/>
  <c r="O399" i="1"/>
  <c r="O400" i="1"/>
  <c r="O401" i="1"/>
  <c r="O402" i="1"/>
  <c r="O403" i="1"/>
  <c r="O404" i="1"/>
  <c r="O405" i="1"/>
  <c r="O406" i="1"/>
  <c r="O407" i="1"/>
  <c r="O408" i="1"/>
  <c r="O409" i="1"/>
  <c r="O410" i="1"/>
  <c r="O411" i="1"/>
  <c r="O412" i="1"/>
  <c r="O413" i="1"/>
  <c r="O414" i="1"/>
  <c r="O415" i="1"/>
  <c r="O416" i="1"/>
  <c r="O417" i="1"/>
  <c r="O418" i="1"/>
  <c r="O419" i="1"/>
  <c r="O420" i="1"/>
  <c r="O421" i="1"/>
  <c r="O422" i="1"/>
  <c r="O423" i="1"/>
  <c r="O424" i="1"/>
  <c r="O425" i="1"/>
  <c r="O426" i="1"/>
  <c r="O427" i="1"/>
  <c r="O428" i="1"/>
  <c r="O429" i="1"/>
  <c r="O430" i="1"/>
  <c r="O431" i="1"/>
  <c r="O432" i="1"/>
  <c r="O433" i="1"/>
  <c r="O434" i="1"/>
  <c r="O435" i="1"/>
  <c r="O436" i="1"/>
  <c r="O437" i="1"/>
  <c r="O438" i="1"/>
  <c r="O439" i="1"/>
  <c r="O440" i="1"/>
  <c r="O441" i="1"/>
  <c r="O442" i="1"/>
  <c r="O443" i="1"/>
  <c r="O444" i="1"/>
  <c r="O445" i="1"/>
  <c r="O446" i="1"/>
  <c r="O447" i="1"/>
  <c r="O448" i="1"/>
  <c r="O449" i="1"/>
  <c r="O450" i="1"/>
  <c r="O451" i="1"/>
  <c r="O452" i="1"/>
  <c r="O453" i="1"/>
  <c r="O454" i="1"/>
  <c r="O455" i="1"/>
  <c r="O456" i="1"/>
  <c r="O457" i="1"/>
  <c r="O458" i="1"/>
  <c r="O459" i="1"/>
  <c r="O460" i="1"/>
  <c r="O461" i="1"/>
  <c r="O462" i="1"/>
  <c r="O463" i="1"/>
  <c r="O464" i="1"/>
  <c r="O465" i="1"/>
  <c r="O466" i="1"/>
  <c r="O467" i="1"/>
  <c r="O468" i="1"/>
  <c r="O469" i="1"/>
  <c r="O470" i="1"/>
  <c r="O471" i="1"/>
  <c r="O472" i="1"/>
  <c r="O473" i="1"/>
  <c r="O474" i="1"/>
  <c r="O475" i="1"/>
  <c r="O476" i="1"/>
  <c r="O477" i="1"/>
  <c r="O478" i="1"/>
  <c r="O479" i="1"/>
  <c r="O480" i="1"/>
  <c r="O481" i="1"/>
  <c r="O482" i="1"/>
  <c r="O483" i="1"/>
  <c r="O484" i="1"/>
  <c r="O485" i="1"/>
  <c r="O486" i="1"/>
  <c r="O487" i="1"/>
  <c r="O488" i="1"/>
  <c r="O489" i="1"/>
  <c r="O490" i="1"/>
  <c r="O491" i="1"/>
  <c r="O492" i="1"/>
  <c r="O493" i="1"/>
  <c r="M2" i="1"/>
  <c r="M3" i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58" i="1"/>
  <c r="M59" i="1"/>
  <c r="M60" i="1"/>
  <c r="M61" i="1"/>
  <c r="M62" i="1"/>
  <c r="M63" i="1"/>
  <c r="M64" i="1"/>
  <c r="M65" i="1"/>
  <c r="M66" i="1"/>
  <c r="M67" i="1"/>
  <c r="M68" i="1"/>
  <c r="M69" i="1"/>
  <c r="M70" i="1"/>
  <c r="M71" i="1"/>
  <c r="M72" i="1"/>
  <c r="M73" i="1"/>
  <c r="M74" i="1"/>
  <c r="M75" i="1"/>
  <c r="M76" i="1"/>
  <c r="M77" i="1"/>
  <c r="M78" i="1"/>
  <c r="M79" i="1"/>
  <c r="M80" i="1"/>
  <c r="M81" i="1"/>
  <c r="M82" i="1"/>
  <c r="M83" i="1"/>
  <c r="M84" i="1"/>
  <c r="M85" i="1"/>
  <c r="M86" i="1"/>
  <c r="M87" i="1"/>
  <c r="M88" i="1"/>
  <c r="M89" i="1"/>
  <c r="M90" i="1"/>
  <c r="M91" i="1"/>
  <c r="M92" i="1"/>
  <c r="M93" i="1"/>
  <c r="M94" i="1"/>
  <c r="M95" i="1"/>
  <c r="M96" i="1"/>
  <c r="M97" i="1"/>
  <c r="M98" i="1"/>
  <c r="M99" i="1"/>
  <c r="M100" i="1"/>
  <c r="M101" i="1"/>
  <c r="M102" i="1"/>
  <c r="M103" i="1"/>
  <c r="M104" i="1"/>
  <c r="M105" i="1"/>
  <c r="M106" i="1"/>
  <c r="M107" i="1"/>
  <c r="M108" i="1"/>
  <c r="M109" i="1"/>
  <c r="M110" i="1"/>
  <c r="M111" i="1"/>
  <c r="M112" i="1"/>
  <c r="M113" i="1"/>
  <c r="M114" i="1"/>
  <c r="M115" i="1"/>
  <c r="M116" i="1"/>
  <c r="M117" i="1"/>
  <c r="M118" i="1"/>
  <c r="M119" i="1"/>
  <c r="M120" i="1"/>
  <c r="M121" i="1"/>
  <c r="M122" i="1"/>
  <c r="M123" i="1"/>
  <c r="M124" i="1"/>
  <c r="M125" i="1"/>
  <c r="M126" i="1"/>
  <c r="M127" i="1"/>
  <c r="M128" i="1"/>
  <c r="M129" i="1"/>
  <c r="M130" i="1"/>
  <c r="M131" i="1"/>
  <c r="M132" i="1"/>
  <c r="M133" i="1"/>
  <c r="M134" i="1"/>
  <c r="M135" i="1"/>
  <c r="M136" i="1"/>
  <c r="M137" i="1"/>
  <c r="M138" i="1"/>
  <c r="M139" i="1"/>
  <c r="M140" i="1"/>
  <c r="M141" i="1"/>
  <c r="M142" i="1"/>
  <c r="M143" i="1"/>
  <c r="M144" i="1"/>
  <c r="M145" i="1"/>
  <c r="M146" i="1"/>
  <c r="M147" i="1"/>
  <c r="M148" i="1"/>
  <c r="M149" i="1"/>
  <c r="M150" i="1"/>
  <c r="M151" i="1"/>
  <c r="M152" i="1"/>
  <c r="M153" i="1"/>
  <c r="M154" i="1"/>
  <c r="M155" i="1"/>
  <c r="M156" i="1"/>
  <c r="M157" i="1"/>
  <c r="M158" i="1"/>
  <c r="M159" i="1"/>
  <c r="M160" i="1"/>
  <c r="M161" i="1"/>
  <c r="M162" i="1"/>
  <c r="M163" i="1"/>
  <c r="M164" i="1"/>
  <c r="M165" i="1"/>
  <c r="M166" i="1"/>
  <c r="M167" i="1"/>
  <c r="M168" i="1"/>
  <c r="M169" i="1"/>
  <c r="M170" i="1"/>
  <c r="M171" i="1"/>
  <c r="M172" i="1"/>
  <c r="M173" i="1"/>
  <c r="M174" i="1"/>
  <c r="M175" i="1"/>
  <c r="M176" i="1"/>
  <c r="M177" i="1"/>
  <c r="M178" i="1"/>
  <c r="M179" i="1"/>
  <c r="M180" i="1"/>
  <c r="M181" i="1"/>
  <c r="M182" i="1"/>
  <c r="M183" i="1"/>
  <c r="M184" i="1"/>
  <c r="M185" i="1"/>
  <c r="M186" i="1"/>
  <c r="M187" i="1"/>
  <c r="M188" i="1"/>
  <c r="M189" i="1"/>
  <c r="M190" i="1"/>
  <c r="M191" i="1"/>
  <c r="M192" i="1"/>
  <c r="M193" i="1"/>
  <c r="M194" i="1"/>
  <c r="M195" i="1"/>
  <c r="M196" i="1"/>
  <c r="M197" i="1"/>
  <c r="M198" i="1"/>
  <c r="M199" i="1"/>
  <c r="M200" i="1"/>
  <c r="M201" i="1"/>
  <c r="M202" i="1"/>
  <c r="M203" i="1"/>
  <c r="M204" i="1"/>
  <c r="M205" i="1"/>
  <c r="M206" i="1"/>
  <c r="M207" i="1"/>
  <c r="M208" i="1"/>
  <c r="M209" i="1"/>
  <c r="M210" i="1"/>
  <c r="M211" i="1"/>
  <c r="M212" i="1"/>
  <c r="M213" i="1"/>
  <c r="M214" i="1"/>
  <c r="M215" i="1"/>
  <c r="M216" i="1"/>
  <c r="M217" i="1"/>
  <c r="M218" i="1"/>
  <c r="M219" i="1"/>
  <c r="M220" i="1"/>
  <c r="M221" i="1"/>
  <c r="M222" i="1"/>
  <c r="M223" i="1"/>
  <c r="M224" i="1"/>
  <c r="M225" i="1"/>
  <c r="M226" i="1"/>
  <c r="M227" i="1"/>
  <c r="M228" i="1"/>
  <c r="M229" i="1"/>
  <c r="M230" i="1"/>
  <c r="M231" i="1"/>
  <c r="M232" i="1"/>
  <c r="M233" i="1"/>
  <c r="M234" i="1"/>
  <c r="M235" i="1"/>
  <c r="M236" i="1"/>
  <c r="M237" i="1"/>
  <c r="M238" i="1"/>
  <c r="M239" i="1"/>
  <c r="M240" i="1"/>
  <c r="M241" i="1"/>
  <c r="M242" i="1"/>
  <c r="M243" i="1"/>
  <c r="M244" i="1"/>
  <c r="M245" i="1"/>
  <c r="M246" i="1"/>
  <c r="M247" i="1"/>
  <c r="M248" i="1"/>
  <c r="M249" i="1"/>
  <c r="M250" i="1"/>
  <c r="M251" i="1"/>
  <c r="M252" i="1"/>
  <c r="M253" i="1"/>
  <c r="M254" i="1"/>
  <c r="M255" i="1"/>
  <c r="M256" i="1"/>
  <c r="M257" i="1"/>
  <c r="M258" i="1"/>
  <c r="M259" i="1"/>
  <c r="M260" i="1"/>
  <c r="M261" i="1"/>
  <c r="M262" i="1"/>
  <c r="M263" i="1"/>
  <c r="M264" i="1"/>
  <c r="M265" i="1"/>
  <c r="M266" i="1"/>
  <c r="M267" i="1"/>
  <c r="M268" i="1"/>
  <c r="M269" i="1"/>
  <c r="M270" i="1"/>
  <c r="M271" i="1"/>
  <c r="M272" i="1"/>
  <c r="M273" i="1"/>
  <c r="M274" i="1"/>
  <c r="M275" i="1"/>
  <c r="M276" i="1"/>
  <c r="M277" i="1"/>
  <c r="M278" i="1"/>
  <c r="M279" i="1"/>
  <c r="M280" i="1"/>
  <c r="M281" i="1"/>
  <c r="M282" i="1"/>
  <c r="M283" i="1"/>
  <c r="M284" i="1"/>
  <c r="M285" i="1"/>
  <c r="M286" i="1"/>
  <c r="M287" i="1"/>
  <c r="M288" i="1"/>
  <c r="M289" i="1"/>
  <c r="M290" i="1"/>
  <c r="M291" i="1"/>
  <c r="M292" i="1"/>
  <c r="M293" i="1"/>
  <c r="M294" i="1"/>
  <c r="M295" i="1"/>
  <c r="M296" i="1"/>
  <c r="M297" i="1"/>
  <c r="M298" i="1"/>
  <c r="M299" i="1"/>
  <c r="M300" i="1"/>
  <c r="M301" i="1"/>
  <c r="M302" i="1"/>
  <c r="M303" i="1"/>
  <c r="M304" i="1"/>
  <c r="M305" i="1"/>
  <c r="M306" i="1"/>
  <c r="M307" i="1"/>
  <c r="M308" i="1"/>
  <c r="M309" i="1"/>
  <c r="M310" i="1"/>
  <c r="M311" i="1"/>
  <c r="M312" i="1"/>
  <c r="M313" i="1"/>
  <c r="M314" i="1"/>
  <c r="M315" i="1"/>
  <c r="M316" i="1"/>
  <c r="M317" i="1"/>
  <c r="M318" i="1"/>
  <c r="M319" i="1"/>
  <c r="M320" i="1"/>
  <c r="M321" i="1"/>
  <c r="M322" i="1"/>
  <c r="M323" i="1"/>
  <c r="M324" i="1"/>
  <c r="M325" i="1"/>
  <c r="M326" i="1"/>
  <c r="M327" i="1"/>
  <c r="M328" i="1"/>
  <c r="M329" i="1"/>
  <c r="M330" i="1"/>
  <c r="M331" i="1"/>
  <c r="M332" i="1"/>
  <c r="M333" i="1"/>
  <c r="M334" i="1"/>
  <c r="M335" i="1"/>
  <c r="M336" i="1"/>
  <c r="M337" i="1"/>
  <c r="M338" i="1"/>
  <c r="M339" i="1"/>
  <c r="M340" i="1"/>
  <c r="M341" i="1"/>
  <c r="M342" i="1"/>
  <c r="M343" i="1"/>
  <c r="M344" i="1"/>
  <c r="M345" i="1"/>
  <c r="M346" i="1"/>
  <c r="M347" i="1"/>
  <c r="M348" i="1"/>
  <c r="M349" i="1"/>
  <c r="M350" i="1"/>
  <c r="M351" i="1"/>
  <c r="M352" i="1"/>
  <c r="M353" i="1"/>
  <c r="M354" i="1"/>
  <c r="M355" i="1"/>
  <c r="M356" i="1"/>
  <c r="M357" i="1"/>
  <c r="M358" i="1"/>
  <c r="M359" i="1"/>
  <c r="M360" i="1"/>
  <c r="M361" i="1"/>
  <c r="M362" i="1"/>
  <c r="M363" i="1"/>
  <c r="M364" i="1"/>
  <c r="M365" i="1"/>
  <c r="M366" i="1"/>
  <c r="M367" i="1"/>
  <c r="M368" i="1"/>
  <c r="M369" i="1"/>
  <c r="M370" i="1"/>
  <c r="M371" i="1"/>
  <c r="M372" i="1"/>
  <c r="M373" i="1"/>
  <c r="M374" i="1"/>
  <c r="M375" i="1"/>
  <c r="M376" i="1"/>
  <c r="M377" i="1"/>
  <c r="M378" i="1"/>
  <c r="M379" i="1"/>
  <c r="M380" i="1"/>
  <c r="M381" i="1"/>
  <c r="M382" i="1"/>
  <c r="M383" i="1"/>
  <c r="M384" i="1"/>
  <c r="M385" i="1"/>
  <c r="M386" i="1"/>
  <c r="M387" i="1"/>
  <c r="M388" i="1"/>
  <c r="M389" i="1"/>
  <c r="M390" i="1"/>
  <c r="M391" i="1"/>
  <c r="M392" i="1"/>
  <c r="M393" i="1"/>
  <c r="M394" i="1"/>
  <c r="M395" i="1"/>
  <c r="M396" i="1"/>
  <c r="M397" i="1"/>
  <c r="M398" i="1"/>
  <c r="M399" i="1"/>
  <c r="M400" i="1"/>
  <c r="M401" i="1"/>
  <c r="M402" i="1"/>
  <c r="M403" i="1"/>
  <c r="M404" i="1"/>
  <c r="M405" i="1"/>
  <c r="M406" i="1"/>
  <c r="M407" i="1"/>
  <c r="M408" i="1"/>
  <c r="M409" i="1"/>
  <c r="M410" i="1"/>
  <c r="M411" i="1"/>
  <c r="M412" i="1"/>
  <c r="M413" i="1"/>
  <c r="M414" i="1"/>
  <c r="M415" i="1"/>
  <c r="M416" i="1"/>
  <c r="M417" i="1"/>
  <c r="M418" i="1"/>
  <c r="M419" i="1"/>
  <c r="M420" i="1"/>
  <c r="M421" i="1"/>
  <c r="M422" i="1"/>
  <c r="M423" i="1"/>
  <c r="M424" i="1"/>
  <c r="M425" i="1"/>
  <c r="M426" i="1"/>
  <c r="M427" i="1"/>
  <c r="M428" i="1"/>
  <c r="M429" i="1"/>
  <c r="M430" i="1"/>
  <c r="M431" i="1"/>
  <c r="M432" i="1"/>
  <c r="M433" i="1"/>
  <c r="M434" i="1"/>
  <c r="M435" i="1"/>
  <c r="M436" i="1"/>
  <c r="M437" i="1"/>
  <c r="M438" i="1"/>
  <c r="M439" i="1"/>
  <c r="M440" i="1"/>
  <c r="M441" i="1"/>
  <c r="M442" i="1"/>
  <c r="M443" i="1"/>
  <c r="M444" i="1"/>
  <c r="M445" i="1"/>
  <c r="M446" i="1"/>
  <c r="M447" i="1"/>
  <c r="M448" i="1"/>
  <c r="M449" i="1"/>
  <c r="M450" i="1"/>
  <c r="M451" i="1"/>
  <c r="M452" i="1"/>
  <c r="M453" i="1"/>
  <c r="M454" i="1"/>
  <c r="M455" i="1"/>
  <c r="M456" i="1"/>
  <c r="M457" i="1"/>
  <c r="M458" i="1"/>
  <c r="M459" i="1"/>
  <c r="M460" i="1"/>
  <c r="M461" i="1"/>
  <c r="M462" i="1"/>
  <c r="M463" i="1"/>
  <c r="M464" i="1"/>
  <c r="M465" i="1"/>
  <c r="M466" i="1"/>
  <c r="M467" i="1"/>
  <c r="M468" i="1"/>
  <c r="M469" i="1"/>
  <c r="M470" i="1"/>
  <c r="M471" i="1"/>
  <c r="M472" i="1"/>
  <c r="M473" i="1"/>
  <c r="M474" i="1"/>
  <c r="M475" i="1"/>
  <c r="M476" i="1"/>
  <c r="M477" i="1"/>
  <c r="M478" i="1"/>
  <c r="M479" i="1"/>
  <c r="M480" i="1"/>
  <c r="M481" i="1"/>
  <c r="M482" i="1"/>
  <c r="M483" i="1"/>
  <c r="M484" i="1"/>
  <c r="M485" i="1"/>
  <c r="M486" i="1"/>
  <c r="M487" i="1"/>
  <c r="M488" i="1"/>
  <c r="M489" i="1"/>
  <c r="M490" i="1"/>
  <c r="M491" i="1"/>
  <c r="M492" i="1"/>
  <c r="M493" i="1"/>
  <c r="L3" i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L422" i="1"/>
  <c r="L423" i="1"/>
  <c r="L424" i="1"/>
  <c r="L425" i="1"/>
  <c r="L426" i="1"/>
  <c r="L427" i="1"/>
  <c r="L428" i="1"/>
  <c r="L429" i="1"/>
  <c r="L430" i="1"/>
  <c r="L431" i="1"/>
  <c r="L432" i="1"/>
  <c r="L433" i="1"/>
  <c r="L434" i="1"/>
  <c r="L435" i="1"/>
  <c r="L436" i="1"/>
  <c r="L437" i="1"/>
  <c r="L438" i="1"/>
  <c r="L439" i="1"/>
  <c r="L440" i="1"/>
  <c r="L441" i="1"/>
  <c r="L442" i="1"/>
  <c r="L443" i="1"/>
  <c r="L444" i="1"/>
  <c r="L445" i="1"/>
  <c r="L446" i="1"/>
  <c r="L447" i="1"/>
  <c r="L448" i="1"/>
  <c r="L449" i="1"/>
  <c r="L450" i="1"/>
  <c r="L451" i="1"/>
  <c r="L452" i="1"/>
  <c r="L453" i="1"/>
  <c r="L454" i="1"/>
  <c r="L455" i="1"/>
  <c r="L456" i="1"/>
  <c r="L457" i="1"/>
  <c r="L458" i="1"/>
  <c r="L459" i="1"/>
  <c r="L460" i="1"/>
  <c r="L461" i="1"/>
  <c r="L462" i="1"/>
  <c r="L463" i="1"/>
  <c r="L464" i="1"/>
  <c r="L465" i="1"/>
  <c r="L466" i="1"/>
  <c r="L467" i="1"/>
  <c r="L468" i="1"/>
  <c r="L469" i="1"/>
  <c r="L470" i="1"/>
  <c r="L471" i="1"/>
  <c r="L472" i="1"/>
  <c r="L473" i="1"/>
  <c r="L474" i="1"/>
  <c r="L475" i="1"/>
  <c r="L476" i="1"/>
  <c r="L477" i="1"/>
  <c r="L478" i="1"/>
  <c r="L479" i="1"/>
  <c r="L480" i="1"/>
  <c r="L481" i="1"/>
  <c r="L482" i="1"/>
  <c r="L483" i="1"/>
  <c r="L484" i="1"/>
  <c r="L485" i="1"/>
  <c r="L486" i="1"/>
  <c r="L487" i="1"/>
  <c r="L488" i="1"/>
  <c r="L489" i="1"/>
  <c r="L490" i="1"/>
  <c r="L491" i="1"/>
  <c r="L492" i="1"/>
  <c r="L493" i="1"/>
  <c r="L2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<sst xmlns="http://schemas.openxmlformats.org/spreadsheetml/2006/main" count="2066" uniqueCount="101">
  <si>
    <t>Romeo and Juliet</t>
  </si>
  <si>
    <t>Sing</t>
  </si>
  <si>
    <t>Vienna</t>
  </si>
  <si>
    <t>Musical</t>
  </si>
  <si>
    <t>We will roll you</t>
  </si>
  <si>
    <t>Madrid</t>
  </si>
  <si>
    <t>Tom Jovi</t>
  </si>
  <si>
    <t>Beauty and the beast</t>
  </si>
  <si>
    <t>Notre Dame de Paris</t>
  </si>
  <si>
    <t>Rock in London</t>
  </si>
  <si>
    <t>Summer Fest</t>
  </si>
  <si>
    <t>POS</t>
  </si>
  <si>
    <t>London Blues Fest</t>
  </si>
  <si>
    <t>Soul in Berlin</t>
  </si>
  <si>
    <t>Flashdance</t>
  </si>
  <si>
    <t>Mark Rodgers</t>
  </si>
  <si>
    <t>Joe Alledi</t>
  </si>
  <si>
    <t>Pause</t>
  </si>
  <si>
    <t>Turandot</t>
  </si>
  <si>
    <t>Aida</t>
  </si>
  <si>
    <t>Opera</t>
  </si>
  <si>
    <t>Die Walküre</t>
  </si>
  <si>
    <t>Tosca</t>
  </si>
  <si>
    <t>Il lago dei cigni</t>
  </si>
  <si>
    <t>Filarmonica di Milano</t>
  </si>
  <si>
    <t>Filarmonica di Mosca</t>
  </si>
  <si>
    <t>Orchestra e Coro dell'Opera</t>
  </si>
  <si>
    <t>Lo schiaccianoci</t>
  </si>
  <si>
    <t>Southern Lights Festival</t>
  </si>
  <si>
    <t>Festival</t>
  </si>
  <si>
    <t>Amsterdam</t>
  </si>
  <si>
    <t>Europe Rocks</t>
  </si>
  <si>
    <t>Midnight Soul</t>
  </si>
  <si>
    <t>Plastic Jungle</t>
  </si>
  <si>
    <t>Electrika</t>
  </si>
  <si>
    <t>John Green Quartet</t>
  </si>
  <si>
    <t>Corrosion</t>
  </si>
  <si>
    <t>Corrosion + Electrika</t>
  </si>
  <si>
    <t/>
  </si>
  <si>
    <t>Event</t>
  </si>
  <si>
    <t>City</t>
  </si>
  <si>
    <t>Event Date</t>
  </si>
  <si>
    <t>Genre</t>
  </si>
  <si>
    <t>Ticket Price (euro)</t>
  </si>
  <si>
    <t>Ticket Category</t>
  </si>
  <si>
    <t>Tickets Available</t>
  </si>
  <si>
    <t>Tickets Sold</t>
  </si>
  <si>
    <t>Stockholm</t>
  </si>
  <si>
    <t>Paris</t>
  </si>
  <si>
    <t>Nice</t>
  </si>
  <si>
    <t>Lyon</t>
  </si>
  <si>
    <t>Barcelona</t>
  </si>
  <si>
    <t>London</t>
  </si>
  <si>
    <t>Hamburg</t>
  </si>
  <si>
    <t>Berlin</t>
  </si>
  <si>
    <t>Zurich</t>
  </si>
  <si>
    <t>Edinburgh</t>
  </si>
  <si>
    <t>Code</t>
  </si>
  <si>
    <t>Description</t>
  </si>
  <si>
    <t>Ticket + Air travel Package</t>
  </si>
  <si>
    <t>Ticket + Air travel + Hotel Package</t>
  </si>
  <si>
    <t>Parking place</t>
  </si>
  <si>
    <t>SC1</t>
  </si>
  <si>
    <t>SC2</t>
  </si>
  <si>
    <t>SC3</t>
  </si>
  <si>
    <t>TA1</t>
  </si>
  <si>
    <t>TA2</t>
  </si>
  <si>
    <t>SCD</t>
  </si>
  <si>
    <t>GA1</t>
  </si>
  <si>
    <t>GA2</t>
  </si>
  <si>
    <t>GA3</t>
  </si>
  <si>
    <t>General Admission (1 day)</t>
  </si>
  <si>
    <t>General Admission (2 days)</t>
  </si>
  <si>
    <t>General Admission (season ticket)</t>
  </si>
  <si>
    <t>Seating Cat. 1</t>
  </si>
  <si>
    <t>Seating Cat. 2</t>
  </si>
  <si>
    <t>Seating Cat. 3</t>
  </si>
  <si>
    <t>Seating-disabled</t>
  </si>
  <si>
    <t xml:space="preserve">Percentage Turnover Margin </t>
  </si>
  <si>
    <t>Concert</t>
  </si>
  <si>
    <t>Classical</t>
  </si>
  <si>
    <t>Ballet</t>
  </si>
  <si>
    <t>Theatre</t>
  </si>
  <si>
    <t>Margin %</t>
  </si>
  <si>
    <t>Days</t>
  </si>
  <si>
    <t>Row Labels</t>
  </si>
  <si>
    <t>Grand Total</t>
  </si>
  <si>
    <t>Jun</t>
  </si>
  <si>
    <t>Jul</t>
  </si>
  <si>
    <t>Aug</t>
  </si>
  <si>
    <t>Column Labels</t>
  </si>
  <si>
    <t>Sum of Tickets Sold</t>
  </si>
  <si>
    <t>(All)</t>
  </si>
  <si>
    <t>Margin Euros</t>
  </si>
  <si>
    <t>Tickekt Code</t>
  </si>
  <si>
    <t>Rating</t>
  </si>
  <si>
    <t>Margin Eros</t>
  </si>
  <si>
    <t xml:space="preserve">Avg % of Sales </t>
  </si>
  <si>
    <t xml:space="preserve">Total Margin € </t>
  </si>
  <si>
    <t>Theater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</si>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</sst>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7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thick">
        <color auto="1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6">
    <xf numFmtId="0" fontId="0" fillId="0" borderId="0" xfId="0"/>
    <xf numFmtId="14" fontId="0" fillId="0" borderId="0" xfId="0" applyNumberFormat="1"/>
    <xf numFmtId="0" fontId="1" fillId="0" borderId="0" xfId="0" applyFont="1"/>
    <xf numFmtId="0" fontId="0" fillId="0" borderId="0" xfId="0" applyAlignment="1">
      <alignment horizontal="left" vertical="center" wrapText="1"/>
    </xf>
    <xf numFmtId="0" fontId="2" fillId="0" borderId="0" xfId="0" applyFont="1"/>
    <xf numFmtId="0" fontId="1" fillId="0" borderId="1" xfId="0" applyFont="1" applyBorder="1" applyAlignment="1">
      <alignment horizontal="center" vertical="center" wrapText="1"/>
    </xf>
    <xf numFmtId="0" fontId="0" fillId="0" borderId="0" xfId="0" applyFill="1" applyBorder="1" applyAlignment="1">
      <alignment horizontal="center"/>
    </xf>
    <xf numFmtId="0" fontId="0" fillId="0" borderId="0" xfId="0" applyNumberFormat="1"/>
    <xf numFmtId="0" fontId="1" fillId="0" borderId="2" xfId="0" applyFont="1" applyBorder="1" applyAlignment="1">
      <alignment horizontal="left" vertical="center" wrapText="1"/>
    </xf>
    <xf numFmtId="0" fontId="1" fillId="0" borderId="0" xfId="0" applyFont="1" applyAlignment="1">
      <alignment horizontal="center" vertical="center" wrapText="1"/>
    </xf>
    <xf numFmtId="0" fontId="0" fillId="0" borderId="0" xfId="0" applyBorder="1"/>
    <xf numFmtId="0" fontId="0" fillId="0" borderId="3" xfId="0" applyBorder="1"/>
    <xf numFmtId="0" fontId="0" fillId="0" borderId="4" xfId="0" pivotButton="1" applyBorder="1"/>
    <xf numFmtId="0" fontId="0" fillId="0" borderId="4" xfId="0" applyBorder="1"/>
    <xf numFmtId="0" fontId="0" fillId="0" borderId="4" xfId="0" applyBorder="1" applyAlignment="1">
      <alignment horizontal="left"/>
    </xf>
    <xf numFmtId="0" fontId="0" fillId="0" borderId="4" xfId="0" applyNumberFormat="1" applyBorder="1"/>
    <xf numFmtId="0" fontId="0" fillId="0" borderId="4" xfId="0" applyBorder="1" applyAlignment="1">
      <alignment horizontal="left" indent="1"/>
    </xf>
    <xf numFmtId="2" fontId="3" fillId="0" borderId="0" xfId="0" applyNumberFormat="1" applyFont="1" applyFill="1" applyBorder="1" applyAlignment="1">
      <alignment horizontal="center" vertical="center" wrapText="1"/>
    </xf>
    <xf numFmtId="2" fontId="0" fillId="0" borderId="0" xfId="0" applyNumberFormat="1" applyFill="1" applyBorder="1" applyAlignment="1">
      <alignment horizontal="center"/>
    </xf>
    <xf numFmtId="2" fontId="0" fillId="0" borderId="0" xfId="0" applyNumberFormat="1"/>
    <xf numFmtId="2" fontId="3" fillId="0" borderId="0" xfId="0" applyNumberFormat="1" applyFont="1" applyFill="1" applyBorder="1" applyAlignment="1">
      <alignment horizontal="center" wrapText="1"/>
    </xf>
    <xf numFmtId="0" fontId="0" fillId="0" borderId="1" xfId="0" applyBorder="1"/>
    <xf numFmtId="0" fontId="0" fillId="0" borderId="6" xfId="0" applyBorder="1"/>
    <xf numFmtId="0" fontId="0" fillId="2" borderId="4" xfId="0" applyFill="1" applyBorder="1" applyAlignment="1">
      <alignment horizontal="left"/>
    </xf>
    <xf numFmtId="0" fontId="0" fillId="2" borderId="4" xfId="0" applyNumberFormat="1" applyFill="1" applyBorder="1"/>
    <xf numFmtId="0" fontId="0" fillId="3" borderId="5" xfId="0" applyFill="1" applyBorder="1"/>
  </cellXfs>
  <cellStyles count="1">
    <cellStyle name="Normal" xfId="0" builtinId="0"/>
  </cellStyles>
  <dxfs count="20"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FFC000"/>
        </patternFill>
      </fill>
    </dxf>
    <dxf>
      <border diagonalUp="0" diagonalDown="0">
        <left/>
        <right/>
        <top style="medium">
          <color indexed="64"/>
        </top>
        <bottom style="medium">
          <color indexed="64"/>
        </bottom>
        <vertical/>
        <horizontal style="medium">
          <color indexed="64"/>
        </horizontal>
      </border>
    </dxf>
    <dxf>
      <border diagonalUp="0" diagonalDown="0">
        <left/>
        <right/>
        <top style="medium">
          <color indexed="64"/>
        </top>
        <bottom style="medium">
          <color indexed="64"/>
        </bottom>
        <vertical/>
        <horizontal style="medium">
          <color indexed="64"/>
        </horizontal>
      </border>
    </dxf>
    <dxf>
      <border diagonalUp="0" diagonalDown="0">
        <left/>
        <right/>
        <top style="medium">
          <color indexed="64"/>
        </top>
        <bottom style="medium">
          <color indexed="64"/>
        </bottom>
        <vertical/>
        <horizontal style="medium">
          <color indexed="64"/>
        </horizontal>
      </border>
    </dxf>
    <dxf>
      <border>
        <top style="medium">
          <color indexed="64"/>
        </top>
      </border>
    </dxf>
    <dxf>
      <border diagonalUp="0" diagonalDown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bottom style="medium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uthor" refreshedDate="46112.454011805552" createdVersion="8" refreshedVersion="8" minRefreshableVersion="3" recordCount="492" xr:uid="{F6F225A2-1F64-439F-8438-D7B50A279EE2}">
  <cacheSource type="worksheet">
    <worksheetSource name="Table1"/>
  </cacheSource>
  <cacheFields count="13">
    <cacheField name="Event" numFmtId="0">
      <sharedItems/>
    </cacheField>
    <cacheField name="City" numFmtId="0">
      <sharedItems count="13">
        <s v="Vienna"/>
        <s v="Madrid"/>
        <s v="Stockholm"/>
        <s v="Lyon"/>
        <s v="Nice"/>
        <s v="Paris"/>
        <s v="Barcelona"/>
        <s v="London"/>
        <s v="Hamburg"/>
        <s v="Berlin"/>
        <s v="Zurich"/>
        <s v="Edinburgh"/>
        <s v="Amsterdam"/>
      </sharedItems>
    </cacheField>
    <cacheField name="Event Date" numFmtId="14">
      <sharedItems containsSemiMixedTypes="0" containsNonDate="0" containsDate="1" containsString="0" minDate="2017-06-01T00:00:00" maxDate="2017-08-29T00:00:00" count="70">
        <d v="2017-06-10T00:00:00"/>
        <d v="2017-06-18T00:00:00"/>
        <d v="2017-06-24T00:00:00"/>
        <d v="2017-07-13T00:00:00"/>
        <d v="2017-07-24T00:00:00"/>
        <d v="2017-08-28T00:00:00"/>
        <d v="2017-06-26T00:00:00"/>
        <d v="2017-07-02T00:00:00"/>
        <d v="2017-07-06T00:00:00"/>
        <d v="2017-08-04T00:00:00"/>
        <d v="2017-08-10T00:00:00"/>
        <d v="2017-08-16T00:00:00"/>
        <d v="2017-08-21T00:00:00"/>
        <d v="2017-08-23T00:00:00"/>
        <d v="2017-08-06T00:00:00"/>
        <d v="2017-07-29T00:00:00"/>
        <d v="2017-08-01T00:00:00"/>
        <d v="2017-06-02T00:00:00"/>
        <d v="2017-07-01T00:00:00"/>
        <d v="2017-07-23T00:00:00"/>
        <d v="2017-07-25T00:00:00"/>
        <d v="2017-07-10T00:00:00"/>
        <d v="2017-07-11T00:00:00"/>
        <d v="2017-07-21T00:00:00"/>
        <d v="2017-07-22T00:00:00"/>
        <d v="2017-07-26T00:00:00"/>
        <d v="2017-08-09T00:00:00"/>
        <d v="2017-08-15T00:00:00"/>
        <d v="2017-06-12T00:00:00"/>
        <d v="2017-07-18T00:00:00"/>
        <d v="2017-06-06T00:00:00"/>
        <d v="2017-07-17T00:00:00"/>
        <d v="2017-08-24T00:00:00"/>
        <d v="2017-06-25T00:00:00"/>
        <d v="2017-08-05T00:00:00"/>
        <d v="2017-08-12T00:00:00"/>
        <d v="2017-07-20T00:00:00"/>
        <d v="2017-08-26T00:00:00"/>
        <d v="2017-06-05T00:00:00"/>
        <d v="2017-07-15T00:00:00"/>
        <d v="2017-08-20T00:00:00"/>
        <d v="2017-06-03T00:00:00"/>
        <d v="2017-06-08T00:00:00"/>
        <d v="2017-06-14T00:00:00"/>
        <d v="2017-06-22T00:00:00"/>
        <d v="2017-06-30T00:00:00"/>
        <d v="2017-07-03T00:00:00"/>
        <d v="2017-07-28T00:00:00"/>
        <d v="2017-08-03T00:00:00"/>
        <d v="2017-06-27T00:00:00"/>
        <d v="2017-06-21T00:00:00"/>
        <d v="2017-08-11T00:00:00"/>
        <d v="2017-07-16T00:00:00"/>
        <d v="2017-06-11T00:00:00"/>
        <d v="2017-06-19T00:00:00"/>
        <d v="2017-07-27T00:00:00"/>
        <d v="2017-06-23T00:00:00"/>
        <d v="2017-08-27T00:00:00"/>
        <d v="2017-06-28T00:00:00"/>
        <d v="2017-07-05T00:00:00"/>
        <d v="2017-07-14T00:00:00"/>
        <d v="2017-08-18T00:00:00"/>
        <d v="2017-07-31T00:00:00"/>
        <d v="2017-06-01T00:00:00"/>
        <d v="2017-06-17T00:00:00"/>
        <d v="2017-08-07T00:00:00"/>
        <d v="2017-07-19T00:00:00"/>
        <d v="2017-07-07T00:00:00"/>
        <d v="2017-06-04T00:00:00"/>
        <d v="2017-07-08T00:00:00"/>
      </sharedItems>
      <fieldGroup par="12"/>
    </cacheField>
    <cacheField name="Genre" numFmtId="0">
      <sharedItems count="7">
        <s v="Opera"/>
        <s v="Musical"/>
        <s v="Concert"/>
        <s v="Festival"/>
        <s v="Classical"/>
        <s v="Ballet"/>
        <s v="Theatre"/>
      </sharedItems>
    </cacheField>
    <cacheField name="Ticket Price (euro)" numFmtId="0">
      <sharedItems containsMixedTypes="1" containsNumber="1" containsInteger="1" minValue="10" maxValue="400"/>
    </cacheField>
    <cacheField name="Ticket Category" numFmtId="0">
      <sharedItems count="10">
        <s v="SC1"/>
        <s v="SC2"/>
        <s v="SC3"/>
        <s v="TA1"/>
        <s v="TA2"/>
        <s v="SCD"/>
        <s v="POS"/>
        <s v="GA1"/>
        <s v="GA2"/>
        <s v="GA3"/>
      </sharedItems>
    </cacheField>
    <cacheField name="Tickets Available" numFmtId="0">
      <sharedItems containsSemiMixedTypes="0" containsString="0" containsNumber="1" containsInteger="1" minValue="45" maxValue="75000"/>
    </cacheField>
    <cacheField name="Tickets Sold" numFmtId="0">
      <sharedItems containsSemiMixedTypes="0" containsString="0" containsNumber="1" containsInteger="1" minValue="32" maxValue="70500"/>
    </cacheField>
    <cacheField name="Description" numFmtId="0">
      <sharedItems/>
    </cacheField>
    <cacheField name="Margin %" numFmtId="0">
      <sharedItems containsMixedTypes="1" containsNumber="1" minValue="0.1" maxValue="0.4"/>
    </cacheField>
    <cacheField name="Days" numFmtId="0">
      <sharedItems containsSemiMixedTypes="0" containsString="0" containsNumber="1" containsInteger="1" minValue="-2305" maxValue="-2242"/>
    </cacheField>
    <cacheField name="Days (Event Date)" numFmtId="0" databaseField="0">
      <fieldGroup base="2">
        <rangePr groupBy="days" startDate="2017-06-01T00:00:00" endDate="2017-08-29T00:00:00"/>
        <groupItems count="368">
          <s v="&lt;01-06-2017"/>
          <s v="01-Jan"/>
          <s v="02-Jan"/>
          <s v="03-Jan"/>
          <s v="04-Jan"/>
          <s v="05-Jan"/>
          <s v="06-Jan"/>
          <s v="07-Jan"/>
          <s v="08-Jan"/>
          <s v="09-Jan"/>
          <s v="10-Jan"/>
          <s v="11-Jan"/>
          <s v="12-Jan"/>
          <s v="13-Jan"/>
          <s v="14-Jan"/>
          <s v="15-Jan"/>
          <s v="16-Jan"/>
          <s v="17-Jan"/>
          <s v="18-Jan"/>
          <s v="19-Jan"/>
          <s v="20-Jan"/>
          <s v="21-Jan"/>
          <s v="22-Jan"/>
          <s v="23-Jan"/>
          <s v="24-Jan"/>
          <s v="25-Jan"/>
          <s v="26-Jan"/>
          <s v="27-Jan"/>
          <s v="28-Jan"/>
          <s v="29-Jan"/>
          <s v="30-Jan"/>
          <s v="31-Jan"/>
          <s v="01-Feb"/>
          <s v="02-Feb"/>
          <s v="03-Feb"/>
          <s v="04-Feb"/>
          <s v="05-Feb"/>
          <s v="06-Feb"/>
          <s v="07-Feb"/>
          <s v="08-Feb"/>
          <s v="09-Feb"/>
          <s v="10-Feb"/>
          <s v="11-Feb"/>
          <s v="12-Feb"/>
          <s v="13-Feb"/>
          <s v="14-Feb"/>
          <s v="15-Feb"/>
          <s v="16-Feb"/>
          <s v="17-Feb"/>
          <s v="18-Feb"/>
          <s v="19-Feb"/>
          <s v="20-Feb"/>
          <s v="21-Feb"/>
          <s v="22-Feb"/>
          <s v="23-Feb"/>
          <s v="24-Feb"/>
          <s v="25-Feb"/>
          <s v="26-Feb"/>
          <s v="27-Feb"/>
          <s v="28-Feb"/>
          <s v="29-Feb"/>
          <s v="01-Mar"/>
          <s v="02-Mar"/>
          <s v="03-Mar"/>
          <s v="04-Mar"/>
          <s v="05-Mar"/>
          <s v="06-Mar"/>
          <s v="07-Mar"/>
          <s v="08-Mar"/>
          <s v="09-Mar"/>
          <s v="10-Mar"/>
          <s v="11-Mar"/>
          <s v="12-Mar"/>
          <s v="13-Mar"/>
          <s v="14-Mar"/>
          <s v="15-Mar"/>
          <s v="16-Mar"/>
          <s v="17-Mar"/>
          <s v="18-Mar"/>
          <s v="19-Mar"/>
          <s v="20-Mar"/>
          <s v="21-Mar"/>
          <s v="22-Mar"/>
          <s v="23-Mar"/>
          <s v="24-Mar"/>
          <s v="25-Mar"/>
          <s v="26-Mar"/>
          <s v="27-Mar"/>
          <s v="28-Mar"/>
          <s v="29-Mar"/>
          <s v="30-Mar"/>
          <s v="31-Mar"/>
          <s v="01-Apr"/>
          <s v="02-Apr"/>
          <s v="03-Apr"/>
          <s v="04-Apr"/>
          <s v="05-Apr"/>
          <s v="06-Apr"/>
          <s v="07-Apr"/>
          <s v="08-Apr"/>
          <s v="09-Apr"/>
          <s v="10-Apr"/>
          <s v="11-Apr"/>
          <s v="12-Apr"/>
          <s v="13-Apr"/>
          <s v="14-Apr"/>
          <s v="15-Apr"/>
          <s v="16-Apr"/>
          <s v="17-Apr"/>
          <s v="18-Apr"/>
          <s v="19-Apr"/>
          <s v="20-Apr"/>
          <s v="21-Apr"/>
          <s v="22-Apr"/>
          <s v="23-Apr"/>
          <s v="24-Apr"/>
          <s v="25-Apr"/>
          <s v="26-Apr"/>
          <s v="27-Apr"/>
          <s v="28-Apr"/>
          <s v="29-Apr"/>
          <s v="30-Apr"/>
          <s v="01-May"/>
          <s v="02-May"/>
          <s v="03-May"/>
          <s v="04-May"/>
          <s v="05-May"/>
          <s v="06-May"/>
          <s v="07-May"/>
          <s v="08-May"/>
          <s v="09-May"/>
          <s v="10-May"/>
          <s v="11-May"/>
          <s v="12-May"/>
          <s v="13-May"/>
          <s v="14-May"/>
          <s v="15-May"/>
          <s v="16-May"/>
          <s v="17-May"/>
          <s v="18-May"/>
          <s v="19-May"/>
          <s v="20-May"/>
          <s v="21-May"/>
          <s v="22-May"/>
          <s v="23-May"/>
          <s v="24-May"/>
          <s v="25-May"/>
          <s v="26-May"/>
          <s v="27-May"/>
          <s v="28-May"/>
          <s v="29-May"/>
          <s v="30-May"/>
          <s v="31-May"/>
          <s v="01-Jun"/>
          <s v="02-Jun"/>
          <s v="03-Jun"/>
          <s v="04-Jun"/>
          <s v="05-Jun"/>
          <s v="06-Jun"/>
          <s v="07-Jun"/>
          <s v="08-Jun"/>
          <s v="09-Jun"/>
          <s v="10-Jun"/>
          <s v="11-Jun"/>
          <s v="12-Jun"/>
          <s v="13-Jun"/>
          <s v="14-Jun"/>
          <s v="15-Jun"/>
          <s v="16-Jun"/>
          <s v="17-Jun"/>
          <s v="18-Jun"/>
          <s v="19-Jun"/>
          <s v="20-Jun"/>
          <s v="21-Jun"/>
          <s v="22-Jun"/>
          <s v="23-Jun"/>
          <s v="24-Jun"/>
          <s v="25-Jun"/>
          <s v="26-Jun"/>
          <s v="27-Jun"/>
          <s v="28-Jun"/>
          <s v="29-Jun"/>
          <s v="30-Jun"/>
          <s v="01-Jul"/>
          <s v="02-Jul"/>
          <s v="03-Jul"/>
          <s v="04-Jul"/>
          <s v="05-Jul"/>
          <s v="06-Jul"/>
          <s v="07-Jul"/>
          <s v="08-Jul"/>
          <s v="09-Jul"/>
          <s v="10-Jul"/>
          <s v="11-Jul"/>
          <s v="12-Jul"/>
          <s v="13-Jul"/>
          <s v="14-Jul"/>
          <s v="15-Jul"/>
          <s v="16-Jul"/>
          <s v="17-Jul"/>
          <s v="18-Jul"/>
          <s v="19-Jul"/>
          <s v="20-Jul"/>
          <s v="21-Jul"/>
          <s v="22-Jul"/>
          <s v="23-Jul"/>
          <s v="24-Jul"/>
          <s v="25-Jul"/>
          <s v="26-Jul"/>
          <s v="27-Jul"/>
          <s v="28-Jul"/>
          <s v="29-Jul"/>
          <s v="30-Jul"/>
          <s v="31-Jul"/>
          <s v="01-Aug"/>
          <s v="02-Aug"/>
          <s v="03-Aug"/>
          <s v="04-Aug"/>
          <s v="05-Aug"/>
          <s v="06-Aug"/>
          <s v="07-Aug"/>
          <s v="08-Aug"/>
          <s v="09-Aug"/>
          <s v="10-Aug"/>
          <s v="11-Aug"/>
          <s v="12-Aug"/>
          <s v="13-Aug"/>
          <s v="14-Aug"/>
          <s v="15-Aug"/>
          <s v="16-Aug"/>
          <s v="17-Aug"/>
          <s v="18-Aug"/>
          <s v="19-Aug"/>
          <s v="20-Aug"/>
          <s v="21-Aug"/>
          <s v="22-Aug"/>
          <s v="23-Aug"/>
          <s v="24-Aug"/>
          <s v="25-Aug"/>
          <s v="26-Aug"/>
          <s v="27-Aug"/>
          <s v="28-Aug"/>
          <s v="29-Aug"/>
          <s v="30-Aug"/>
          <s v="31-Aug"/>
          <s v="01-Sep"/>
          <s v="02-Sep"/>
          <s v="03-Sep"/>
          <s v="04-Sep"/>
          <s v="05-Sep"/>
          <s v="06-Sep"/>
          <s v="07-Sep"/>
          <s v="08-Sep"/>
          <s v="09-Sep"/>
          <s v="10-Sep"/>
          <s v="11-Sep"/>
          <s v="12-Sep"/>
          <s v="13-Sep"/>
          <s v="14-Sep"/>
          <s v="15-Sep"/>
          <s v="16-Sep"/>
          <s v="17-Sep"/>
          <s v="18-Sep"/>
          <s v="19-Sep"/>
          <s v="20-Sep"/>
          <s v="21-Sep"/>
          <s v="22-Sep"/>
          <s v="23-Sep"/>
          <s v="24-Sep"/>
          <s v="25-Sep"/>
          <s v="26-Sep"/>
          <s v="27-Sep"/>
          <s v="28-Sep"/>
          <s v="29-Sep"/>
          <s v="30-Sep"/>
          <s v="01-Oct"/>
          <s v="02-Oct"/>
          <s v="03-Oct"/>
          <s v="04-Oct"/>
          <s v="05-Oct"/>
          <s v="06-Oct"/>
          <s v="07-Oct"/>
          <s v="08-Oct"/>
          <s v="09-Oct"/>
          <s v="10-Oct"/>
          <s v="11-Oct"/>
          <s v="12-Oct"/>
          <s v="13-Oct"/>
          <s v="14-Oct"/>
          <s v="15-Oct"/>
          <s v="16-Oct"/>
          <s v="17-Oct"/>
          <s v="18-Oct"/>
          <s v="19-Oct"/>
          <s v="20-Oct"/>
          <s v="21-Oct"/>
          <s v="22-Oct"/>
          <s v="23-Oct"/>
          <s v="24-Oct"/>
          <s v="25-Oct"/>
          <s v="26-Oct"/>
          <s v="27-Oct"/>
          <s v="28-Oct"/>
          <s v="29-Oct"/>
          <s v="30-Oct"/>
          <s v="31-Oct"/>
          <s v="01-Nov"/>
          <s v="02-Nov"/>
          <s v="03-Nov"/>
          <s v="04-Nov"/>
          <s v="05-Nov"/>
          <s v="06-Nov"/>
          <s v="07-Nov"/>
          <s v="08-Nov"/>
          <s v="09-Nov"/>
          <s v="10-Nov"/>
          <s v="11-Nov"/>
          <s v="12-Nov"/>
          <s v="13-Nov"/>
          <s v="14-Nov"/>
          <s v="15-Nov"/>
          <s v="16-Nov"/>
          <s v="17-Nov"/>
          <s v="18-Nov"/>
          <s v="19-Nov"/>
          <s v="20-Nov"/>
          <s v="21-Nov"/>
          <s v="22-Nov"/>
          <s v="23-Nov"/>
          <s v="24-Nov"/>
          <s v="25-Nov"/>
          <s v="26-Nov"/>
          <s v="27-Nov"/>
          <s v="28-Nov"/>
          <s v="29-Nov"/>
          <s v="30-Nov"/>
          <s v="01-Dec"/>
          <s v="02-Dec"/>
          <s v="03-Dec"/>
          <s v="04-Dec"/>
          <s v="05-Dec"/>
          <s v="06-Dec"/>
          <s v="07-Dec"/>
          <s v="08-Dec"/>
          <s v="09-Dec"/>
          <s v="10-Dec"/>
          <s v="11-Dec"/>
          <s v="12-Dec"/>
          <s v="13-Dec"/>
          <s v="14-Dec"/>
          <s v="15-Dec"/>
          <s v="16-Dec"/>
          <s v="17-Dec"/>
          <s v="18-Dec"/>
          <s v="19-Dec"/>
          <s v="20-Dec"/>
          <s v="21-Dec"/>
          <s v="22-Dec"/>
          <s v="23-Dec"/>
          <s v="24-Dec"/>
          <s v="25-Dec"/>
          <s v="26-Dec"/>
          <s v="27-Dec"/>
          <s v="28-Dec"/>
          <s v="29-Dec"/>
          <s v="30-Dec"/>
          <s v="31-Dec"/>
          <s v="&gt;29-08-2017"/>
        </groupItems>
      </fieldGroup>
    </cacheField>
    <cacheField name="Months (Event Date)" numFmtId="0" databaseField="0">
      <fieldGroup base="2">
        <rangePr groupBy="months" startDate="2017-06-01T00:00:00" endDate="2017-08-29T00:00:00"/>
        <groupItems count="14">
          <s v="&lt;01-06-2017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29-08-2017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92">
  <r>
    <s v="Aida"/>
    <x v="0"/>
    <x v="0"/>
    <x v="0"/>
    <n v="70"/>
    <x v="0"/>
    <n v="3000"/>
    <n v="1680"/>
    <s v="Seating Cat. 1"/>
    <s v="N.A."/>
    <n v="-2298"/>
  </r>
  <r>
    <s v="Aida"/>
    <x v="0"/>
    <x v="0"/>
    <x v="0"/>
    <n v="84"/>
    <x v="1"/>
    <n v="1000"/>
    <n v="740"/>
    <s v="Seating Cat. 2"/>
    <s v="N.A."/>
    <n v="-2298"/>
  </r>
  <r>
    <s v="Aida"/>
    <x v="0"/>
    <x v="0"/>
    <x v="0"/>
    <n v="121"/>
    <x v="2"/>
    <n v="500"/>
    <n v="250"/>
    <s v="Seating Cat. 3"/>
    <s v="N.A."/>
    <n v="-2298"/>
  </r>
  <r>
    <s v="Aida"/>
    <x v="0"/>
    <x v="0"/>
    <x v="0"/>
    <n v="272"/>
    <x v="3"/>
    <n v="300"/>
    <n v="198"/>
    <s v="Ticket + Air travel Package"/>
    <s v="N.A."/>
    <n v="-2298"/>
  </r>
  <r>
    <s v="Aida"/>
    <x v="0"/>
    <x v="0"/>
    <x v="0"/>
    <n v="370"/>
    <x v="4"/>
    <n v="400"/>
    <n v="324"/>
    <s v="Ticket + Air travel + Hotel Package"/>
    <s v="N.A."/>
    <n v="-2298"/>
  </r>
  <r>
    <s v="Aida"/>
    <x v="1"/>
    <x v="1"/>
    <x v="0"/>
    <n v="31"/>
    <x v="0"/>
    <n v="4000"/>
    <n v="2800"/>
    <s v="Seating Cat. 1"/>
    <s v="N.A."/>
    <n v="-2292"/>
  </r>
  <r>
    <s v="Aida"/>
    <x v="1"/>
    <x v="1"/>
    <x v="0"/>
    <n v="93"/>
    <x v="1"/>
    <n v="1200"/>
    <n v="1044"/>
    <s v="Seating Cat. 2"/>
    <s v="N.A."/>
    <n v="-2292"/>
  </r>
  <r>
    <s v="Aida"/>
    <x v="1"/>
    <x v="1"/>
    <x v="0"/>
    <n v="189"/>
    <x v="2"/>
    <n v="700"/>
    <n v="630"/>
    <s v="Seating Cat. 3"/>
    <s v="N.A."/>
    <n v="-2292"/>
  </r>
  <r>
    <s v="Aida"/>
    <x v="2"/>
    <x v="2"/>
    <x v="0"/>
    <n v="59"/>
    <x v="0"/>
    <n v="2000"/>
    <n v="1520"/>
    <s v="Seating Cat. 1"/>
    <s v="N.A."/>
    <n v="-2288"/>
  </r>
  <r>
    <s v="Aida"/>
    <x v="2"/>
    <x v="2"/>
    <x v="0"/>
    <n v="93"/>
    <x v="1"/>
    <n v="900"/>
    <n v="513"/>
    <s v="Seating Cat. 2"/>
    <s v="N.A."/>
    <n v="-2288"/>
  </r>
  <r>
    <s v="Aida"/>
    <x v="2"/>
    <x v="2"/>
    <x v="0"/>
    <n v="168"/>
    <x v="2"/>
    <n v="450"/>
    <n v="356"/>
    <s v="Seating Cat. 3"/>
    <s v="N.A."/>
    <n v="-2288"/>
  </r>
  <r>
    <s v="Aida"/>
    <x v="2"/>
    <x v="2"/>
    <x v="0"/>
    <n v="283"/>
    <x v="3"/>
    <n v="300"/>
    <n v="231"/>
    <s v="Ticket + Air travel Package"/>
    <s v="N.A."/>
    <n v="-2288"/>
  </r>
  <r>
    <s v="Aida"/>
    <x v="2"/>
    <x v="2"/>
    <x v="0"/>
    <n v="363"/>
    <x v="4"/>
    <n v="400"/>
    <n v="320"/>
    <s v="Ticket + Air travel + Hotel Package"/>
    <s v="N.A."/>
    <n v="-2288"/>
  </r>
  <r>
    <s v="Aida"/>
    <x v="3"/>
    <x v="3"/>
    <x v="0"/>
    <n v="68"/>
    <x v="0"/>
    <n v="2400"/>
    <n v="1752"/>
    <s v="Seating Cat. 1"/>
    <s v="N.A."/>
    <n v="-2275"/>
  </r>
  <r>
    <s v="Aida"/>
    <x v="3"/>
    <x v="3"/>
    <x v="0"/>
    <n v="89"/>
    <x v="1"/>
    <n v="750"/>
    <n v="578"/>
    <s v="Seating Cat. 2"/>
    <s v="N.A."/>
    <n v="-2275"/>
  </r>
  <r>
    <s v="Aida"/>
    <x v="4"/>
    <x v="4"/>
    <x v="0"/>
    <n v="70"/>
    <x v="0"/>
    <n v="3400"/>
    <n v="2754"/>
    <s v="Seating Cat. 1"/>
    <s v="N.A."/>
    <n v="-2267"/>
  </r>
  <r>
    <s v="Aida"/>
    <x v="4"/>
    <x v="4"/>
    <x v="0"/>
    <n v="115"/>
    <x v="1"/>
    <n v="950"/>
    <n v="618"/>
    <s v="Seating Cat. 2"/>
    <s v="N.A."/>
    <n v="-2267"/>
  </r>
  <r>
    <s v="Aida"/>
    <x v="4"/>
    <x v="4"/>
    <x v="0"/>
    <n v="169"/>
    <x v="2"/>
    <n v="470"/>
    <n v="287"/>
    <s v="Seating Cat. 3"/>
    <s v="N.A."/>
    <n v="-2267"/>
  </r>
  <r>
    <s v="Aida"/>
    <x v="5"/>
    <x v="5"/>
    <x v="0"/>
    <n v="65"/>
    <x v="0"/>
    <n v="3000"/>
    <n v="1770"/>
    <s v="Seating Cat. 1"/>
    <s v="N.A."/>
    <n v="-2242"/>
  </r>
  <r>
    <s v="Aida"/>
    <x v="5"/>
    <x v="5"/>
    <x v="0"/>
    <n v="88"/>
    <x v="1"/>
    <n v="1000"/>
    <n v="500"/>
    <s v="Seating Cat. 2"/>
    <s v="N.A."/>
    <n v="-2242"/>
  </r>
  <r>
    <s v="Aida"/>
    <x v="5"/>
    <x v="5"/>
    <x v="0"/>
    <n v="156"/>
    <x v="2"/>
    <n v="500"/>
    <n v="255"/>
    <s v="Seating Cat. 3"/>
    <s v="N.A."/>
    <n v="-2242"/>
  </r>
  <r>
    <s v="Aida"/>
    <x v="5"/>
    <x v="5"/>
    <x v="0"/>
    <n v="26"/>
    <x v="5"/>
    <n v="89"/>
    <n v="51"/>
    <s v="Seating-disabled"/>
    <s v="N.A."/>
    <n v="-2242"/>
  </r>
  <r>
    <s v="Aida"/>
    <x v="5"/>
    <x v="5"/>
    <x v="0"/>
    <n v="187"/>
    <x v="3"/>
    <n v="200"/>
    <n v="140"/>
    <s v="Ticket + Air travel Package"/>
    <s v="N.A."/>
    <n v="-2242"/>
  </r>
  <r>
    <s v="Aida"/>
    <x v="5"/>
    <x v="5"/>
    <x v="0"/>
    <n v="334"/>
    <x v="4"/>
    <n v="300"/>
    <n v="222"/>
    <s v="Ticket + Air travel + Hotel Package"/>
    <s v="N.A."/>
    <n v="-2242"/>
  </r>
  <r>
    <s v="Beauty and the beast"/>
    <x v="0"/>
    <x v="6"/>
    <x v="1"/>
    <n v="58"/>
    <x v="0"/>
    <n v="760"/>
    <n v="403"/>
    <s v="Seating Cat. 1"/>
    <s v="N.A."/>
    <n v="-2287"/>
  </r>
  <r>
    <s v="Beauty and the beast"/>
    <x v="0"/>
    <x v="7"/>
    <x v="1"/>
    <n v="80"/>
    <x v="1"/>
    <n v="350"/>
    <n v="217"/>
    <s v="Seating Cat. 2"/>
    <s v="N.A."/>
    <n v="-2282"/>
  </r>
  <r>
    <s v="Beauty and the beast"/>
    <x v="0"/>
    <x v="8"/>
    <x v="1"/>
    <n v="24"/>
    <x v="6"/>
    <n v="100"/>
    <n v="87"/>
    <s v="Parking place"/>
    <s v="N.A."/>
    <n v="-2280"/>
  </r>
  <r>
    <s v="Beauty and the beast"/>
    <x v="6"/>
    <x v="9"/>
    <x v="1"/>
    <n v="52"/>
    <x v="0"/>
    <n v="694"/>
    <n v="424"/>
    <s v="Seating Cat. 1"/>
    <s v="N.A."/>
    <n v="-2259"/>
  </r>
  <r>
    <s v="Beauty and the beast"/>
    <x v="6"/>
    <x v="9"/>
    <x v="1"/>
    <n v="116"/>
    <x v="1"/>
    <n v="480"/>
    <n v="245"/>
    <s v="Seating Cat. 2"/>
    <s v="N.A."/>
    <n v="-2259"/>
  </r>
  <r>
    <s v="Beauty and the beast"/>
    <x v="7"/>
    <x v="10"/>
    <x v="1"/>
    <n v="65"/>
    <x v="0"/>
    <n v="1260"/>
    <n v="1147"/>
    <s v="Seating Cat. 1"/>
    <s v="N.A."/>
    <n v="-2255"/>
  </r>
  <r>
    <s v="Beauty and the beast"/>
    <x v="7"/>
    <x v="10"/>
    <x v="1"/>
    <n v="95"/>
    <x v="1"/>
    <n v="490"/>
    <n v="348"/>
    <s v="Seating Cat. 2"/>
    <s v="N.A."/>
    <n v="-2255"/>
  </r>
  <r>
    <s v="Beauty and the beast"/>
    <x v="7"/>
    <x v="10"/>
    <x v="1"/>
    <n v="298"/>
    <x v="3"/>
    <n v="300"/>
    <n v="225"/>
    <s v="Ticket + Air travel Package"/>
    <s v="N.A."/>
    <n v="-2255"/>
  </r>
  <r>
    <s v="Beauty and the beast"/>
    <x v="7"/>
    <x v="10"/>
    <x v="1"/>
    <n v="337"/>
    <x v="4"/>
    <n v="300"/>
    <n v="240"/>
    <s v="Ticket + Air travel + Hotel Package"/>
    <s v="N.A."/>
    <n v="-2255"/>
  </r>
  <r>
    <s v="Beauty and the beast"/>
    <x v="1"/>
    <x v="11"/>
    <x v="1"/>
    <n v="73"/>
    <x v="0"/>
    <n v="1006"/>
    <n v="644"/>
    <s v="Seating Cat. 1"/>
    <s v="N.A."/>
    <n v="-2251"/>
  </r>
  <r>
    <s v="Beauty and the beast"/>
    <x v="1"/>
    <x v="11"/>
    <x v="1"/>
    <n v="80"/>
    <x v="1"/>
    <n v="346"/>
    <n v="326"/>
    <s v="Seating Cat. 2"/>
    <s v="N.A."/>
    <n v="-2251"/>
  </r>
  <r>
    <s v="Beauty and the beast"/>
    <x v="1"/>
    <x v="11"/>
    <x v="1"/>
    <n v="32"/>
    <x v="6"/>
    <n v="100"/>
    <n v="72"/>
    <s v="Parking place"/>
    <s v="N.A."/>
    <n v="-2251"/>
  </r>
  <r>
    <s v="Beauty and the beast"/>
    <x v="1"/>
    <x v="11"/>
    <x v="1"/>
    <n v="194"/>
    <x v="3"/>
    <n v="200"/>
    <n v="136"/>
    <s v="Ticket + Air travel Package"/>
    <s v="N.A."/>
    <n v="-2251"/>
  </r>
  <r>
    <s v="Beauty and the beast"/>
    <x v="1"/>
    <x v="11"/>
    <x v="1"/>
    <n v="315"/>
    <x v="4"/>
    <n v="300"/>
    <n v="204"/>
    <s v="Ticket + Air travel + Hotel Package"/>
    <s v="N.A."/>
    <n v="-2251"/>
  </r>
  <r>
    <s v="Beauty and the beast"/>
    <x v="8"/>
    <x v="12"/>
    <x v="1"/>
    <n v="53"/>
    <x v="0"/>
    <n v="856"/>
    <n v="583"/>
    <s v="Seating Cat. 1"/>
    <s v="N.A."/>
    <n v="-2247"/>
  </r>
  <r>
    <s v="Beauty and the beast"/>
    <x v="8"/>
    <x v="12"/>
    <x v="1"/>
    <n v="111"/>
    <x v="1"/>
    <n v="482"/>
    <n v="261"/>
    <s v="Seating Cat. 2"/>
    <s v="N.A."/>
    <n v="-2247"/>
  </r>
  <r>
    <s v="Beauty and the beast"/>
    <x v="8"/>
    <x v="12"/>
    <x v="1"/>
    <n v="221"/>
    <x v="3"/>
    <n v="300"/>
    <n v="246"/>
    <s v="Ticket + Air travel Package"/>
    <s v="N.A."/>
    <n v="-2247"/>
  </r>
  <r>
    <s v="Beauty and the beast"/>
    <x v="8"/>
    <x v="12"/>
    <x v="1"/>
    <n v="327"/>
    <x v="4"/>
    <n v="300"/>
    <n v="150"/>
    <s v="Ticket + Air travel + Hotel Package"/>
    <s v="N.A."/>
    <n v="-2247"/>
  </r>
  <r>
    <s v="Beauty and the beast"/>
    <x v="3"/>
    <x v="13"/>
    <x v="1"/>
    <n v="52"/>
    <x v="0"/>
    <n v="780"/>
    <n v="445"/>
    <s v="Seating Cat. 1"/>
    <s v="N.A."/>
    <n v="-2246"/>
  </r>
  <r>
    <s v="Beauty and the beast"/>
    <x v="3"/>
    <x v="13"/>
    <x v="1"/>
    <n v="102"/>
    <x v="1"/>
    <n v="423"/>
    <n v="318"/>
    <s v="Seating Cat. 2"/>
    <s v="N.A."/>
    <n v="-2246"/>
  </r>
  <r>
    <s v="Beauty and the beast"/>
    <x v="3"/>
    <x v="13"/>
    <x v="1"/>
    <n v="18"/>
    <x v="6"/>
    <n v="70"/>
    <n v="40"/>
    <s v="Parking place"/>
    <s v="N.A."/>
    <n v="-2246"/>
  </r>
  <r>
    <s v="Beauty and the beast"/>
    <x v="3"/>
    <x v="13"/>
    <x v="1"/>
    <n v="285"/>
    <x v="3"/>
    <n v="400"/>
    <n v="356"/>
    <s v="Ticket + Air travel Package"/>
    <s v="N.A."/>
    <n v="-2246"/>
  </r>
  <r>
    <s v="Beauty and the beast"/>
    <x v="3"/>
    <x v="13"/>
    <x v="1"/>
    <n v="365"/>
    <x v="4"/>
    <n v="300"/>
    <n v="210"/>
    <s v="Ticket + Air travel + Hotel Package"/>
    <s v="N.A."/>
    <n v="-2246"/>
  </r>
  <r>
    <s v="Corrosion"/>
    <x v="6"/>
    <x v="14"/>
    <x v="2"/>
    <n v="45"/>
    <x v="7"/>
    <n v="7188"/>
    <n v="6254"/>
    <s v="General Admission (1 day)"/>
    <s v="N.A."/>
    <n v="-2257"/>
  </r>
  <r>
    <s v="Corrosion"/>
    <x v="6"/>
    <x v="14"/>
    <x v="2"/>
    <n v="37"/>
    <x v="0"/>
    <n v="1974"/>
    <n v="1343"/>
    <s v="Seating Cat. 1"/>
    <s v="N.A."/>
    <n v="-2257"/>
  </r>
  <r>
    <s v="Corrosion"/>
    <x v="6"/>
    <x v="14"/>
    <x v="2"/>
    <n v="194"/>
    <x v="3"/>
    <n v="200"/>
    <n v="112"/>
    <s v="Ticket + Air travel Package"/>
    <s v="N.A."/>
    <n v="-2257"/>
  </r>
  <r>
    <s v="Corrosion"/>
    <x v="6"/>
    <x v="14"/>
    <x v="2"/>
    <n v="348"/>
    <x v="4"/>
    <n v="300"/>
    <n v="258"/>
    <s v="Ticket + Air travel + Hotel Package"/>
    <s v="N.A."/>
    <n v="-2257"/>
  </r>
  <r>
    <s v="Corrosion + Electrika"/>
    <x v="8"/>
    <x v="15"/>
    <x v="2"/>
    <n v="71"/>
    <x v="7"/>
    <n v="13478"/>
    <n v="8222"/>
    <s v="General Admission (1 day)"/>
    <s v="N.A."/>
    <n v="-2263"/>
  </r>
  <r>
    <s v="Corrosion + Electrika"/>
    <x v="8"/>
    <x v="15"/>
    <x v="2"/>
    <n v="70"/>
    <x v="0"/>
    <n v="742"/>
    <n v="416"/>
    <s v="Seating Cat. 1"/>
    <s v="N.A."/>
    <n v="-2263"/>
  </r>
  <r>
    <s v="Corrosion + Electrika"/>
    <x v="8"/>
    <x v="15"/>
    <x v="2"/>
    <n v="241"/>
    <x v="3"/>
    <n v="300"/>
    <n v="279"/>
    <s v="Ticket + Air travel Package"/>
    <s v="N.A."/>
    <n v="-2263"/>
  </r>
  <r>
    <s v="Corrosion + Electrika"/>
    <x v="8"/>
    <x v="15"/>
    <x v="2"/>
    <n v="315"/>
    <x v="4"/>
    <n v="400"/>
    <n v="220"/>
    <s v="Ticket + Air travel + Hotel Package"/>
    <s v="N.A."/>
    <n v="-2263"/>
  </r>
  <r>
    <s v="Corrosion + Electrika"/>
    <x v="0"/>
    <x v="16"/>
    <x v="2"/>
    <n v="46"/>
    <x v="7"/>
    <n v="9617"/>
    <n v="7502"/>
    <s v="General Admission (1 day)"/>
    <s v="N.A."/>
    <n v="-2262"/>
  </r>
  <r>
    <s v="Corrosion + Electrika"/>
    <x v="0"/>
    <x v="16"/>
    <x v="2"/>
    <n v="72"/>
    <x v="0"/>
    <n v="683"/>
    <n v="485"/>
    <s v="Seating Cat. 1"/>
    <s v="N.A."/>
    <n v="-2262"/>
  </r>
  <r>
    <s v="Corrosion + Electrika"/>
    <x v="0"/>
    <x v="16"/>
    <x v="2"/>
    <n v="268"/>
    <x v="3"/>
    <n v="300"/>
    <n v="240"/>
    <s v="Ticket + Air travel Package"/>
    <s v="N.A."/>
    <n v="-2262"/>
  </r>
  <r>
    <s v="Corrosion + Electrika"/>
    <x v="0"/>
    <x v="16"/>
    <x v="2"/>
    <n v="310"/>
    <x v="4"/>
    <n v="200"/>
    <n v="170"/>
    <s v="Ticket + Air travel + Hotel Package"/>
    <s v="N.A."/>
    <n v="-2262"/>
  </r>
  <r>
    <s v="Die Walküre"/>
    <x v="9"/>
    <x v="17"/>
    <x v="0"/>
    <n v="45"/>
    <x v="0"/>
    <n v="2940"/>
    <n v="2558"/>
    <s v="Seating Cat. 1"/>
    <s v="N.A."/>
    <n v="-2304"/>
  </r>
  <r>
    <s v="Die Walküre"/>
    <x v="9"/>
    <x v="17"/>
    <x v="0"/>
    <n v="114"/>
    <x v="1"/>
    <n v="875"/>
    <n v="779"/>
    <s v="Seating Cat. 2"/>
    <s v="N.A."/>
    <n v="-2304"/>
  </r>
  <r>
    <s v="Die Walküre"/>
    <x v="9"/>
    <x v="17"/>
    <x v="0"/>
    <n v="224"/>
    <x v="3"/>
    <n v="400"/>
    <n v="232"/>
    <s v="Ticket + Air travel Package"/>
    <s v="N.A."/>
    <n v="-2304"/>
  </r>
  <r>
    <s v="Die Walküre"/>
    <x v="9"/>
    <x v="17"/>
    <x v="0"/>
    <n v="380"/>
    <x v="4"/>
    <n v="300"/>
    <n v="153"/>
    <s v="Ticket + Air travel + Hotel Package"/>
    <s v="N.A."/>
    <n v="-2304"/>
  </r>
  <r>
    <s v="Die Walküre"/>
    <x v="8"/>
    <x v="18"/>
    <x v="0"/>
    <n v="52"/>
    <x v="0"/>
    <n v="1860"/>
    <n v="1433"/>
    <s v="Seating Cat. 1"/>
    <s v="N.A."/>
    <n v="-2283"/>
  </r>
  <r>
    <s v="Die Walküre"/>
    <x v="8"/>
    <x v="18"/>
    <x v="0"/>
    <n v="74"/>
    <x v="1"/>
    <n v="1200"/>
    <n v="936"/>
    <s v="Seating Cat. 2"/>
    <s v="N.A."/>
    <n v="-2283"/>
  </r>
  <r>
    <s v="Die Walküre"/>
    <x v="8"/>
    <x v="18"/>
    <x v="0"/>
    <n v="189"/>
    <x v="3"/>
    <n v="300"/>
    <n v="249"/>
    <s v="Ticket + Air travel Package"/>
    <s v="N.A."/>
    <n v="-2283"/>
  </r>
  <r>
    <s v="Die Walküre"/>
    <x v="8"/>
    <x v="18"/>
    <x v="0"/>
    <n v="398"/>
    <x v="4"/>
    <n v="400"/>
    <n v="200"/>
    <s v="Ticket + Air travel + Hotel Package"/>
    <s v="N.A."/>
    <n v="-2283"/>
  </r>
  <r>
    <s v="Die Walküre"/>
    <x v="7"/>
    <x v="19"/>
    <x v="0"/>
    <n v="54"/>
    <x v="0"/>
    <n v="3450"/>
    <n v="2864"/>
    <s v="Seating Cat. 1"/>
    <s v="N.A."/>
    <n v="-2267"/>
  </r>
  <r>
    <s v="Die Walküre"/>
    <x v="7"/>
    <x v="19"/>
    <x v="0"/>
    <n v="74"/>
    <x v="1"/>
    <n v="798"/>
    <n v="687"/>
    <s v="Seating Cat. 2"/>
    <s v="N.A."/>
    <n v="-2267"/>
  </r>
  <r>
    <s v="Die Walküre"/>
    <x v="7"/>
    <x v="19"/>
    <x v="0"/>
    <n v="143"/>
    <x v="2"/>
    <n v="500"/>
    <n v="330"/>
    <s v="Seating Cat. 3"/>
    <s v="N.A."/>
    <n v="-2267"/>
  </r>
  <r>
    <s v="Die Walküre"/>
    <x v="7"/>
    <x v="19"/>
    <x v="0"/>
    <n v="29"/>
    <x v="5"/>
    <n v="120"/>
    <n v="76"/>
    <s v="Seating-disabled"/>
    <s v="N.A."/>
    <n v="-2267"/>
  </r>
  <r>
    <s v="Die Walküre"/>
    <x v="7"/>
    <x v="19"/>
    <x v="0"/>
    <n v="244"/>
    <x v="3"/>
    <n v="200"/>
    <n v="160"/>
    <s v="Ticket + Air travel Package"/>
    <s v="N.A."/>
    <n v="-2267"/>
  </r>
  <r>
    <s v="Die Walküre"/>
    <x v="7"/>
    <x v="19"/>
    <x v="0"/>
    <n v="349"/>
    <x v="4"/>
    <n v="300"/>
    <n v="204"/>
    <s v="Ticket + Air travel + Hotel Package"/>
    <s v="N.A."/>
    <n v="-2267"/>
  </r>
  <r>
    <s v="Die Walküre"/>
    <x v="10"/>
    <x v="20"/>
    <x v="0"/>
    <n v="31"/>
    <x v="0"/>
    <n v="1500"/>
    <n v="1065"/>
    <s v="Seating Cat. 1"/>
    <s v="N.A."/>
    <n v="-2267"/>
  </r>
  <r>
    <s v="Die Walküre"/>
    <x v="10"/>
    <x v="20"/>
    <x v="0"/>
    <n v="102"/>
    <x v="1"/>
    <n v="600"/>
    <n v="462"/>
    <s v="Seating Cat. 2"/>
    <s v="N.A."/>
    <n v="-2267"/>
  </r>
  <r>
    <s v="Die Walküre"/>
    <x v="10"/>
    <x v="20"/>
    <x v="0"/>
    <n v="143"/>
    <x v="2"/>
    <n v="200"/>
    <n v="140"/>
    <s v="Seating Cat. 3"/>
    <s v="N.A."/>
    <n v="-2267"/>
  </r>
  <r>
    <s v="Electrika"/>
    <x v="7"/>
    <x v="9"/>
    <x v="2"/>
    <n v="61"/>
    <x v="7"/>
    <n v="9935"/>
    <n v="6657"/>
    <s v="General Admission (1 day)"/>
    <s v="N.A."/>
    <n v="-2259"/>
  </r>
  <r>
    <s v="Electrika"/>
    <x v="7"/>
    <x v="9"/>
    <x v="2"/>
    <n v="52"/>
    <x v="0"/>
    <n v="648"/>
    <n v="370"/>
    <s v="Seating Cat. 1"/>
    <s v="N.A."/>
    <n v="-2259"/>
  </r>
  <r>
    <s v="Electrika"/>
    <x v="7"/>
    <x v="9"/>
    <x v="2"/>
    <n v="299"/>
    <x v="3"/>
    <n v="200"/>
    <n v="148"/>
    <s v="Ticket + Air travel Package"/>
    <s v="N.A."/>
    <n v="-2259"/>
  </r>
  <r>
    <s v="Electrika"/>
    <x v="7"/>
    <x v="9"/>
    <x v="2"/>
    <n v="336"/>
    <x v="4"/>
    <n v="300"/>
    <n v="261"/>
    <s v="Ticket + Air travel + Hotel Package"/>
    <s v="N.A."/>
    <n v="-2259"/>
  </r>
  <r>
    <s v="Electrika"/>
    <x v="5"/>
    <x v="14"/>
    <x v="2"/>
    <n v="73"/>
    <x v="7"/>
    <n v="8634"/>
    <n v="4404"/>
    <s v="General Admission (1 day)"/>
    <s v="N.A."/>
    <n v="-2257"/>
  </r>
  <r>
    <s v="Electrika"/>
    <x v="5"/>
    <x v="14"/>
    <x v="2"/>
    <n v="70"/>
    <x v="0"/>
    <n v="1240"/>
    <n v="695"/>
    <s v="Seating Cat. 1"/>
    <s v="N.A."/>
    <n v="-2257"/>
  </r>
  <r>
    <s v="Electrika"/>
    <x v="5"/>
    <x v="14"/>
    <x v="2"/>
    <n v="269"/>
    <x v="3"/>
    <n v="400"/>
    <n v="260"/>
    <s v="Ticket + Air travel Package"/>
    <s v="N.A."/>
    <n v="-2257"/>
  </r>
  <r>
    <s v="Electrika"/>
    <x v="5"/>
    <x v="14"/>
    <x v="2"/>
    <n v="304"/>
    <x v="4"/>
    <n v="200"/>
    <n v="116"/>
    <s v="Ticket + Air travel + Hotel Package"/>
    <s v="N.A."/>
    <n v="-2257"/>
  </r>
  <r>
    <s v="Europe Rocks"/>
    <x v="2"/>
    <x v="21"/>
    <x v="3"/>
    <n v="54"/>
    <x v="7"/>
    <n v="50000"/>
    <n v="34000"/>
    <s v="General Admission (1 day)"/>
    <s v="N.A."/>
    <n v="-2277"/>
  </r>
  <r>
    <s v="Europe Rocks"/>
    <x v="2"/>
    <x v="21"/>
    <x v="3"/>
    <n v="99"/>
    <x v="8"/>
    <n v="50000"/>
    <n v="34500"/>
    <s v="General Admission (2 days)"/>
    <s v="N.A."/>
    <n v="-2277"/>
  </r>
  <r>
    <s v="Europe Rocks"/>
    <x v="2"/>
    <x v="21"/>
    <x v="3"/>
    <n v="35"/>
    <x v="5"/>
    <n v="54"/>
    <n v="35"/>
    <s v="Seating-disabled"/>
    <s v="N.A."/>
    <n v="-2277"/>
  </r>
  <r>
    <s v="Europe Rocks"/>
    <x v="2"/>
    <x v="22"/>
    <x v="3"/>
    <n v="42"/>
    <x v="7"/>
    <n v="50000"/>
    <n v="42500"/>
    <s v="General Admission (1 day)"/>
    <s v="N.A."/>
    <n v="-2277"/>
  </r>
  <r>
    <s v="Europe Rocks"/>
    <x v="2"/>
    <x v="22"/>
    <x v="3"/>
    <n v="226"/>
    <x v="3"/>
    <n v="300"/>
    <n v="207"/>
    <s v="Ticket + Air travel Package"/>
    <s v="N.A."/>
    <n v="-2277"/>
  </r>
  <r>
    <s v="Europe Rocks"/>
    <x v="2"/>
    <x v="22"/>
    <x v="3"/>
    <n v="29"/>
    <x v="5"/>
    <n v="111"/>
    <n v="88"/>
    <s v="Seating-disabled"/>
    <s v="N.A."/>
    <n v="-2277"/>
  </r>
  <r>
    <s v="Europe Rocks"/>
    <x v="2"/>
    <x v="22"/>
    <x v="3"/>
    <n v="379"/>
    <x v="4"/>
    <n v="300"/>
    <n v="261"/>
    <s v="Ticket + Air travel + Hotel Package"/>
    <s v="N.A."/>
    <n v="-2277"/>
  </r>
  <r>
    <s v="Europe Rocks"/>
    <x v="5"/>
    <x v="23"/>
    <x v="3"/>
    <n v="78"/>
    <x v="7"/>
    <n v="50000"/>
    <n v="43500"/>
    <s v="General Admission (1 day)"/>
    <s v="N.A."/>
    <n v="-2269"/>
  </r>
  <r>
    <s v="Europe Rocks"/>
    <x v="5"/>
    <x v="23"/>
    <x v="3"/>
    <n v="94"/>
    <x v="8"/>
    <n v="50000"/>
    <n v="27500"/>
    <s v="General Admission (2 days)"/>
    <s v="N.A."/>
    <n v="-2269"/>
  </r>
  <r>
    <s v="Europe Rocks"/>
    <x v="5"/>
    <x v="23"/>
    <x v="3"/>
    <n v="31"/>
    <x v="5"/>
    <n v="83"/>
    <n v="66"/>
    <s v="Seating-disabled"/>
    <s v="N.A."/>
    <n v="-2269"/>
  </r>
  <r>
    <s v="Europe Rocks"/>
    <x v="5"/>
    <x v="24"/>
    <x v="3"/>
    <n v="50"/>
    <x v="7"/>
    <n v="50000"/>
    <n v="25500"/>
    <s v="General Admission (1 day)"/>
    <n v="0.1"/>
    <n v="-2268"/>
  </r>
  <r>
    <s v="Europe Rocks"/>
    <x v="5"/>
    <x v="24"/>
    <x v="3"/>
    <n v="220"/>
    <x v="3"/>
    <n v="400"/>
    <n v="344"/>
    <s v="Ticket + Air travel Package"/>
    <s v="N.A."/>
    <n v="-2268"/>
  </r>
  <r>
    <s v="Europe Rocks"/>
    <x v="5"/>
    <x v="24"/>
    <x v="3"/>
    <n v="29"/>
    <x v="5"/>
    <n v="64"/>
    <n v="40"/>
    <s v="Seating-disabled"/>
    <s v="N.A."/>
    <n v="-2268"/>
  </r>
  <r>
    <s v="Europe Rocks"/>
    <x v="5"/>
    <x v="24"/>
    <x v="3"/>
    <n v="320"/>
    <x v="4"/>
    <n v="200"/>
    <n v="128"/>
    <s v="Ticket + Air travel + Hotel Package"/>
    <s v="N.A."/>
    <n v="-2268"/>
  </r>
  <r>
    <s v="Europe Rocks"/>
    <x v="6"/>
    <x v="20"/>
    <x v="3"/>
    <n v="50"/>
    <x v="7"/>
    <n v="50000"/>
    <n v="38500"/>
    <s v="General Admission (1 day)"/>
    <n v="0.1"/>
    <n v="-2267"/>
  </r>
  <r>
    <s v="Europe Rocks"/>
    <x v="6"/>
    <x v="20"/>
    <x v="3"/>
    <n v="94"/>
    <x v="8"/>
    <n v="50000"/>
    <n v="29000"/>
    <s v="General Admission (2 days)"/>
    <s v="N.A."/>
    <n v="-2267"/>
  </r>
  <r>
    <s v="Europe Rocks"/>
    <x v="6"/>
    <x v="20"/>
    <x v="3"/>
    <n v="29"/>
    <x v="5"/>
    <n v="112"/>
    <n v="104"/>
    <s v="Seating-disabled"/>
    <s v="N.A."/>
    <n v="-2267"/>
  </r>
  <r>
    <s v="Europe Rocks"/>
    <x v="6"/>
    <x v="25"/>
    <x v="3"/>
    <n v="50"/>
    <x v="7"/>
    <n v="50000"/>
    <n v="28000"/>
    <s v="General Admission (1 day)"/>
    <n v="0.1"/>
    <n v="-2266"/>
  </r>
  <r>
    <s v="Europe Rocks"/>
    <x v="6"/>
    <x v="25"/>
    <x v="3"/>
    <n v="192"/>
    <x v="3"/>
    <n v="300"/>
    <n v="210"/>
    <s v="Ticket + Air travel Package"/>
    <s v="N.A."/>
    <n v="-2266"/>
  </r>
  <r>
    <s v="Europe Rocks"/>
    <x v="6"/>
    <x v="25"/>
    <x v="3"/>
    <n v="23"/>
    <x v="5"/>
    <n v="59"/>
    <n v="56"/>
    <s v="Seating-disabled"/>
    <s v="N.A."/>
    <n v="-2266"/>
  </r>
  <r>
    <s v="Europe Rocks"/>
    <x v="6"/>
    <x v="25"/>
    <x v="3"/>
    <n v="351"/>
    <x v="4"/>
    <n v="300"/>
    <n v="240"/>
    <s v="Ticket + Air travel + Hotel Package"/>
    <s v="N.A."/>
    <n v="-2266"/>
  </r>
  <r>
    <s v="Filarmonica di Milano"/>
    <x v="9"/>
    <x v="26"/>
    <x v="4"/>
    <n v="68"/>
    <x v="0"/>
    <n v="940"/>
    <n v="480"/>
    <s v="Seating Cat. 1"/>
    <s v="N.A."/>
    <n v="-2256"/>
  </r>
  <r>
    <s v="Filarmonica di Milano"/>
    <x v="7"/>
    <x v="27"/>
    <x v="4"/>
    <n v="72"/>
    <x v="0"/>
    <n v="654"/>
    <n v="517"/>
    <s v="Seating Cat. 1"/>
    <s v="N.A."/>
    <n v="-2252"/>
  </r>
  <r>
    <s v="Filarmonica di Milano"/>
    <x v="7"/>
    <x v="27"/>
    <x v="4"/>
    <n v="73"/>
    <x v="1"/>
    <n v="400"/>
    <n v="280"/>
    <s v="Seating Cat. 2"/>
    <s v="N.A."/>
    <n v="-2252"/>
  </r>
  <r>
    <s v="Filarmonica di Milano"/>
    <x v="7"/>
    <x v="27"/>
    <x v="4"/>
    <n v="152"/>
    <x v="2"/>
    <n v="213"/>
    <n v="199"/>
    <s v="Seating Cat. 3"/>
    <s v="N.A."/>
    <n v="-2252"/>
  </r>
  <r>
    <s v="Filarmonica di Milano"/>
    <x v="7"/>
    <x v="27"/>
    <x v="4"/>
    <n v="293"/>
    <x v="3"/>
    <n v="300"/>
    <n v="168"/>
    <s v="Ticket + Air travel Package"/>
    <s v="N.A."/>
    <n v="-2252"/>
  </r>
  <r>
    <s v="Filarmonica di Milano"/>
    <x v="7"/>
    <x v="27"/>
    <x v="4"/>
    <n v="30"/>
    <x v="5"/>
    <n v="57"/>
    <n v="50"/>
    <s v="Seating-disabled"/>
    <s v="N.A."/>
    <n v="-2252"/>
  </r>
  <r>
    <s v="Filarmonica di Milano"/>
    <x v="7"/>
    <x v="27"/>
    <x v="4"/>
    <n v="357"/>
    <x v="4"/>
    <n v="300"/>
    <n v="192"/>
    <s v="Ticket + Air travel + Hotel Package"/>
    <s v="N.A."/>
    <n v="-2252"/>
  </r>
  <r>
    <s v="Filarmonica di Mosca"/>
    <x v="7"/>
    <x v="28"/>
    <x v="4"/>
    <n v="37"/>
    <x v="0"/>
    <n v="712"/>
    <n v="641"/>
    <s v="Seating Cat. 1"/>
    <s v="N.A."/>
    <n v="-2297"/>
  </r>
  <r>
    <s v="Filarmonica di Mosca"/>
    <x v="7"/>
    <x v="28"/>
    <x v="4"/>
    <n v="106"/>
    <x v="1"/>
    <n v="463"/>
    <n v="380"/>
    <s v="Seating Cat. 2"/>
    <s v="N.A."/>
    <n v="-2297"/>
  </r>
  <r>
    <s v="Filarmonica di Mosca"/>
    <x v="7"/>
    <x v="28"/>
    <x v="4"/>
    <n v="116"/>
    <x v="2"/>
    <n v="218"/>
    <n v="120"/>
    <s v="Seating Cat. 3"/>
    <s v="N.A."/>
    <n v="-2297"/>
  </r>
  <r>
    <s v="Filarmonica di Mosca"/>
    <x v="7"/>
    <x v="28"/>
    <x v="4"/>
    <n v="240"/>
    <x v="3"/>
    <n v="300"/>
    <n v="264"/>
    <s v="Ticket + Air travel Package"/>
    <s v="N.A."/>
    <n v="-2297"/>
  </r>
  <r>
    <s v="Filarmonica di Mosca"/>
    <x v="7"/>
    <x v="28"/>
    <x v="4"/>
    <n v="305"/>
    <x v="4"/>
    <n v="200"/>
    <n v="164"/>
    <s v="Ticket + Air travel + Hotel Package"/>
    <s v="N.A."/>
    <n v="-2297"/>
  </r>
  <r>
    <s v="Filarmonica di Mosca"/>
    <x v="0"/>
    <x v="29"/>
    <x v="4"/>
    <n v="70"/>
    <x v="0"/>
    <n v="480"/>
    <n v="322"/>
    <s v="Seating Cat. 1"/>
    <s v="N.A."/>
    <n v="-2272"/>
  </r>
  <r>
    <s v="Flashdance"/>
    <x v="0"/>
    <x v="30"/>
    <x v="1"/>
    <n v="114"/>
    <x v="1"/>
    <n v="350"/>
    <n v="305"/>
    <s v="Seating Cat. 2"/>
    <s v="N.A."/>
    <n v="-2302"/>
  </r>
  <r>
    <s v="Flashdance"/>
    <x v="11"/>
    <x v="31"/>
    <x v="1"/>
    <n v="37"/>
    <x v="0"/>
    <n v="540"/>
    <n v="432"/>
    <s v="Seating Cat. 1"/>
    <s v="N.A."/>
    <n v="-2272"/>
  </r>
  <r>
    <s v="Flashdance"/>
    <x v="11"/>
    <x v="31"/>
    <x v="1"/>
    <n v="86"/>
    <x v="1"/>
    <n v="320"/>
    <n v="212"/>
    <s v="Seating Cat. 2"/>
    <s v="N.A."/>
    <n v="-2272"/>
  </r>
  <r>
    <s v="Flashdance"/>
    <x v="11"/>
    <x v="31"/>
    <x v="1"/>
    <n v="222"/>
    <x v="3"/>
    <n v="300"/>
    <n v="156"/>
    <s v="Ticket + Air travel Package"/>
    <s v="N.A."/>
    <n v="-2272"/>
  </r>
  <r>
    <s v="Flashdance"/>
    <x v="11"/>
    <x v="31"/>
    <x v="1"/>
    <n v="315"/>
    <x v="4"/>
    <n v="300"/>
    <n v="195"/>
    <s v="Ticket + Air travel + Hotel Package"/>
    <s v="N.A."/>
    <n v="-2272"/>
  </r>
  <r>
    <s v="Flashdance"/>
    <x v="11"/>
    <x v="29"/>
    <x v="1"/>
    <n v="78"/>
    <x v="0"/>
    <n v="1250"/>
    <n v="850"/>
    <s v="Seating Cat. 1"/>
    <s v="N.A."/>
    <n v="-2272"/>
  </r>
  <r>
    <s v="Flashdance"/>
    <x v="11"/>
    <x v="29"/>
    <x v="1"/>
    <n v="87"/>
    <x v="1"/>
    <n v="420"/>
    <n v="353"/>
    <s v="Seating Cat. 2"/>
    <s v="N.A."/>
    <n v="-2272"/>
  </r>
  <r>
    <s v="Flashdance"/>
    <x v="8"/>
    <x v="25"/>
    <x v="1"/>
    <n v="45"/>
    <x v="0"/>
    <n v="750"/>
    <n v="615"/>
    <s v="Seating Cat. 1"/>
    <s v="N.A."/>
    <n v="-2266"/>
  </r>
  <r>
    <s v="Flashdance"/>
    <x v="8"/>
    <x v="25"/>
    <x v="1"/>
    <n v="106"/>
    <x v="1"/>
    <n v="240"/>
    <n v="212"/>
    <s v="Seating Cat. 2"/>
    <s v="N.A."/>
    <n v="-2266"/>
  </r>
  <r>
    <s v="Flashdance"/>
    <x v="3"/>
    <x v="32"/>
    <x v="1"/>
    <n v="39"/>
    <x v="0"/>
    <n v="810"/>
    <n v="738"/>
    <s v="Seating Cat. 1"/>
    <s v="N.A."/>
    <n v="-2245"/>
  </r>
  <r>
    <s v="Flashdance"/>
    <x v="3"/>
    <x v="32"/>
    <x v="1"/>
    <n v="74"/>
    <x v="1"/>
    <n v="250"/>
    <n v="163"/>
    <s v="Seating Cat. 2"/>
    <s v="N.A."/>
    <n v="-2245"/>
  </r>
  <r>
    <s v="Il lago dei cigni"/>
    <x v="12"/>
    <x v="2"/>
    <x v="5"/>
    <n v="74"/>
    <x v="0"/>
    <n v="1000"/>
    <n v="560"/>
    <s v="Seating Cat. 1"/>
    <s v="N.A."/>
    <n v="-2288"/>
  </r>
  <r>
    <s v="Il lago dei cigni"/>
    <x v="12"/>
    <x v="2"/>
    <x v="5"/>
    <n v="77"/>
    <x v="1"/>
    <n v="500"/>
    <n v="255"/>
    <s v="Seating Cat. 2"/>
    <s v="N.A."/>
    <n v="-2288"/>
  </r>
  <r>
    <s v="Il lago dei cigni"/>
    <x v="12"/>
    <x v="2"/>
    <x v="5"/>
    <n v="136"/>
    <x v="2"/>
    <n v="500"/>
    <n v="400"/>
    <s v="Seating Cat. 3"/>
    <s v="N.A."/>
    <n v="-2288"/>
  </r>
  <r>
    <s v="Il lago dei cigni"/>
    <x v="12"/>
    <x v="2"/>
    <x v="5"/>
    <n v="195"/>
    <x v="3"/>
    <n v="300"/>
    <n v="261"/>
    <s v="Ticket + Air travel Package"/>
    <s v="N.A."/>
    <n v="-2288"/>
  </r>
  <r>
    <s v="Il lago dei cigni"/>
    <x v="12"/>
    <x v="33"/>
    <x v="5"/>
    <n v="35"/>
    <x v="5"/>
    <n v="92"/>
    <n v="56"/>
    <s v="Seating-disabled"/>
    <s v="N.A."/>
    <n v="-2287"/>
  </r>
  <r>
    <s v="Il lago dei cigni"/>
    <x v="12"/>
    <x v="33"/>
    <x v="5"/>
    <n v="184"/>
    <x v="0"/>
    <n v="300"/>
    <n v="225"/>
    <s v="Seating Cat. 1"/>
    <s v="N.A."/>
    <n v="-2287"/>
  </r>
  <r>
    <s v="Il lago dei cigni"/>
    <x v="12"/>
    <x v="33"/>
    <x v="5"/>
    <n v="330"/>
    <x v="1"/>
    <n v="300"/>
    <n v="204"/>
    <s v="Seating Cat. 2"/>
    <s v="N.A."/>
    <n v="-2287"/>
  </r>
  <r>
    <s v="Il lago dei cigni"/>
    <x v="12"/>
    <x v="33"/>
    <x v="5"/>
    <n v="353"/>
    <x v="4"/>
    <n v="200"/>
    <n v="164"/>
    <s v="Ticket + Air travel + Hotel Package"/>
    <s v="N.A."/>
    <n v="-2287"/>
  </r>
  <r>
    <s v="Il lago dei cigni"/>
    <x v="5"/>
    <x v="7"/>
    <x v="5"/>
    <n v="74"/>
    <x v="0"/>
    <n v="750"/>
    <n v="570"/>
    <s v="Seating Cat. 1"/>
    <s v="N.A."/>
    <n v="-2282"/>
  </r>
  <r>
    <s v="Il lago dei cigni"/>
    <x v="5"/>
    <x v="7"/>
    <x v="5"/>
    <n v="83"/>
    <x v="1"/>
    <n v="420"/>
    <n v="353"/>
    <s v="Seating Cat. 2"/>
    <s v="N.A."/>
    <n v="-2282"/>
  </r>
  <r>
    <s v="Il lago dei cigni"/>
    <x v="5"/>
    <x v="7"/>
    <x v="5"/>
    <n v="102"/>
    <x v="2"/>
    <n v="210"/>
    <n v="160"/>
    <s v="Seating Cat. 3"/>
    <s v="N.A."/>
    <n v="-2282"/>
  </r>
  <r>
    <s v="Il lago dei cigni"/>
    <x v="5"/>
    <x v="7"/>
    <x v="5"/>
    <n v="287"/>
    <x v="3"/>
    <n v="300"/>
    <n v="246"/>
    <s v="Ticket + Air travel Package"/>
    <s v="N.A."/>
    <n v="-2282"/>
  </r>
  <r>
    <s v="Il lago dei cigni"/>
    <x v="5"/>
    <x v="7"/>
    <x v="5"/>
    <n v="23"/>
    <x v="5"/>
    <n v="51"/>
    <n v="35"/>
    <s v="Seating-disabled"/>
    <s v="N.A."/>
    <n v="-2282"/>
  </r>
  <r>
    <s v="Il lago dei cigni"/>
    <x v="5"/>
    <x v="7"/>
    <x v="5"/>
    <n v="301"/>
    <x v="4"/>
    <n v="300"/>
    <n v="186"/>
    <s v="Ticket + Air travel + Hotel Package"/>
    <s v="N.A."/>
    <n v="-2282"/>
  </r>
  <r>
    <s v="Il lago dei cigni"/>
    <x v="6"/>
    <x v="34"/>
    <x v="5"/>
    <n v="63"/>
    <x v="0"/>
    <n v="642"/>
    <n v="559"/>
    <s v="Seating Cat. 1"/>
    <s v="N.A."/>
    <n v="-2258"/>
  </r>
  <r>
    <s v="Il lago dei cigni"/>
    <x v="6"/>
    <x v="34"/>
    <x v="5"/>
    <n v="83"/>
    <x v="1"/>
    <n v="314"/>
    <n v="299"/>
    <s v="Seating Cat. 2"/>
    <s v="N.A."/>
    <n v="-2258"/>
  </r>
  <r>
    <s v="Il lago dei cigni"/>
    <x v="6"/>
    <x v="34"/>
    <x v="5"/>
    <n v="27"/>
    <x v="5"/>
    <n v="58"/>
    <n v="38"/>
    <s v="Seating-disabled"/>
    <s v="N.A."/>
    <n v="-2258"/>
  </r>
  <r>
    <s v="Il lago dei cigni"/>
    <x v="6"/>
    <x v="34"/>
    <x v="5"/>
    <n v="182"/>
    <x v="3"/>
    <n v="300"/>
    <n v="282"/>
    <s v="Ticket + Air travel Package"/>
    <s v="N.A."/>
    <n v="-2258"/>
  </r>
  <r>
    <s v="Il lago dei cigni"/>
    <x v="6"/>
    <x v="34"/>
    <x v="5"/>
    <n v="325"/>
    <x v="4"/>
    <n v="400"/>
    <n v="228"/>
    <s v="Ticket + Air travel + Hotel Package"/>
    <s v="N.A."/>
    <n v="-2258"/>
  </r>
  <r>
    <s v="Joe Alledi"/>
    <x v="9"/>
    <x v="33"/>
    <x v="2"/>
    <n v="68"/>
    <x v="7"/>
    <n v="15000"/>
    <n v="12150"/>
    <s v="General Admission (1 day)"/>
    <s v="N.A."/>
    <n v="-2287"/>
  </r>
  <r>
    <s v="Joe Alledi"/>
    <x v="9"/>
    <x v="33"/>
    <x v="2"/>
    <n v="34"/>
    <x v="0"/>
    <n v="1520"/>
    <n v="1001"/>
    <s v="Seating Cat. 1"/>
    <s v="N.A."/>
    <n v="-2287"/>
  </r>
  <r>
    <s v="Joe Alledi"/>
    <x v="9"/>
    <x v="33"/>
    <x v="2"/>
    <n v="297"/>
    <x v="3"/>
    <n v="400"/>
    <n v="312"/>
    <s v="Ticket + Air travel Package"/>
    <s v="N.A."/>
    <n v="-2287"/>
  </r>
  <r>
    <s v="Joe Alledi"/>
    <x v="9"/>
    <x v="33"/>
    <x v="2"/>
    <n v="382"/>
    <x v="4"/>
    <n v="200"/>
    <n v="100"/>
    <s v="Ticket + Air travel + Hotel Package"/>
    <s v="N.A."/>
    <n v="-2287"/>
  </r>
  <r>
    <s v="Joe Alledi"/>
    <x v="2"/>
    <x v="22"/>
    <x v="2"/>
    <n v="61"/>
    <x v="7"/>
    <n v="12500"/>
    <n v="11250"/>
    <s v="General Admission (1 day)"/>
    <s v="N.A."/>
    <n v="-2277"/>
  </r>
  <r>
    <s v="Joe Alledi"/>
    <x v="6"/>
    <x v="10"/>
    <x v="2"/>
    <n v="78"/>
    <x v="7"/>
    <n v="13490"/>
    <n v="11467"/>
    <s v="General Admission (1 day)"/>
    <s v="N.A."/>
    <n v="-2255"/>
  </r>
  <r>
    <s v="Joe Alledi"/>
    <x v="7"/>
    <x v="35"/>
    <x v="2"/>
    <n v="80"/>
    <x v="7"/>
    <n v="12800"/>
    <n v="7680"/>
    <s v="General Admission (1 day)"/>
    <s v="N.A."/>
    <n v="-2253"/>
  </r>
  <r>
    <s v="Joe Alledi"/>
    <x v="7"/>
    <x v="35"/>
    <x v="2"/>
    <n v="31"/>
    <x v="0"/>
    <n v="490"/>
    <n v="378"/>
    <s v="Seating Cat. 1"/>
    <s v="N.A."/>
    <n v="-2253"/>
  </r>
  <r>
    <s v="Joe Alledi"/>
    <x v="7"/>
    <x v="35"/>
    <x v="2"/>
    <n v="190"/>
    <x v="3"/>
    <n v="300"/>
    <n v="195"/>
    <s v="Ticket + Air travel Package"/>
    <s v="N.A."/>
    <n v="-2253"/>
  </r>
  <r>
    <s v="Joe Alledi"/>
    <x v="7"/>
    <x v="35"/>
    <x v="2"/>
    <n v="381"/>
    <x v="4"/>
    <n v="400"/>
    <n v="336"/>
    <s v="Ticket + Air travel + Hotel Package"/>
    <s v="N.A."/>
    <n v="-2253"/>
  </r>
  <r>
    <s v="Joe Alledi"/>
    <x v="3"/>
    <x v="32"/>
    <x v="2"/>
    <n v="65"/>
    <x v="7"/>
    <n v="9780"/>
    <n v="7727"/>
    <s v="General Admission (1 day)"/>
    <s v="N.A."/>
    <n v="-2245"/>
  </r>
  <r>
    <s v="Joe Alledi"/>
    <x v="3"/>
    <x v="32"/>
    <x v="2"/>
    <n v="80"/>
    <x v="0"/>
    <n v="1240"/>
    <n v="1116"/>
    <s v="Seating Cat. 1"/>
    <s v="N.A."/>
    <n v="-2245"/>
  </r>
  <r>
    <s v="John Green Quartet"/>
    <x v="7"/>
    <x v="36"/>
    <x v="4"/>
    <n v="78"/>
    <x v="0"/>
    <n v="450"/>
    <n v="329"/>
    <s v="Seating Cat. 1"/>
    <s v="N.A."/>
    <n v="-2270"/>
  </r>
  <r>
    <s v="John Green Quartet"/>
    <x v="7"/>
    <x v="36"/>
    <x v="4"/>
    <n v="91"/>
    <x v="1"/>
    <n v="210"/>
    <n v="139"/>
    <s v="Seating Cat. 2"/>
    <s v="N.A."/>
    <n v="-2270"/>
  </r>
  <r>
    <s v="John Green Quartet"/>
    <x v="7"/>
    <x v="36"/>
    <x v="4"/>
    <n v="178"/>
    <x v="2"/>
    <n v="200"/>
    <n v="110"/>
    <s v="Seating Cat. 3"/>
    <s v="N.A."/>
    <n v="-2270"/>
  </r>
  <r>
    <s v="John Green Quartet"/>
    <x v="7"/>
    <x v="36"/>
    <x v="4"/>
    <n v="200"/>
    <x v="3"/>
    <n v="300"/>
    <n v="276"/>
    <s v="Ticket + Air travel Package"/>
    <n v="0.25"/>
    <n v="-2270"/>
  </r>
  <r>
    <s v="John Green Quartet"/>
    <x v="7"/>
    <x v="36"/>
    <x v="4"/>
    <n v="359"/>
    <x v="4"/>
    <n v="400"/>
    <n v="244"/>
    <s v="Ticket + Air travel + Hotel Package"/>
    <s v="N.A."/>
    <n v="-2270"/>
  </r>
  <r>
    <s v="John Green Quartet"/>
    <x v="11"/>
    <x v="19"/>
    <x v="4"/>
    <n v="67"/>
    <x v="0"/>
    <n v="480"/>
    <n v="317"/>
    <s v="Seating Cat. 1"/>
    <s v="N.A."/>
    <n v="-2267"/>
  </r>
  <r>
    <s v="John Green Quartet"/>
    <x v="11"/>
    <x v="19"/>
    <x v="4"/>
    <n v="70"/>
    <x v="1"/>
    <n v="250"/>
    <n v="148"/>
    <s v="Seating Cat. 2"/>
    <s v="N.A."/>
    <n v="-2267"/>
  </r>
  <r>
    <s v="John Green Quartet"/>
    <x v="11"/>
    <x v="19"/>
    <x v="4"/>
    <n v="146"/>
    <x v="2"/>
    <n v="110"/>
    <n v="104"/>
    <s v="Seating Cat. 3"/>
    <s v="N.A."/>
    <n v="-2267"/>
  </r>
  <r>
    <s v="John Green Quartet"/>
    <x v="11"/>
    <x v="19"/>
    <x v="4"/>
    <n v="190"/>
    <x v="3"/>
    <n v="300"/>
    <n v="270"/>
    <s v="Ticket + Air travel Package"/>
    <s v="N.A."/>
    <n v="-2267"/>
  </r>
  <r>
    <s v="John Green Quartet"/>
    <x v="11"/>
    <x v="19"/>
    <x v="4"/>
    <n v="369"/>
    <x v="4"/>
    <n v="300"/>
    <n v="156"/>
    <s v="Ticket + Air travel + Hotel Package"/>
    <s v="N.A."/>
    <n v="-2267"/>
  </r>
  <r>
    <s v="John Green Quartet"/>
    <x v="2"/>
    <x v="20"/>
    <x v="4"/>
    <n v="58"/>
    <x v="0"/>
    <n v="390"/>
    <n v="289"/>
    <s v="Seating Cat. 1"/>
    <s v="N.A."/>
    <n v="-2267"/>
  </r>
  <r>
    <s v="John Green Quartet"/>
    <x v="2"/>
    <x v="20"/>
    <x v="4"/>
    <n v="97"/>
    <x v="1"/>
    <n v="225"/>
    <n v="167"/>
    <s v="Seating Cat. 2"/>
    <s v="N.A."/>
    <n v="-2267"/>
  </r>
  <r>
    <s v="John Green Quartet"/>
    <x v="2"/>
    <x v="20"/>
    <x v="4"/>
    <n v="119"/>
    <x v="2"/>
    <n v="200"/>
    <n v="186"/>
    <s v="Seating Cat. 3"/>
    <s v="N.A."/>
    <n v="-2267"/>
  </r>
  <r>
    <s v="John Green Quartet"/>
    <x v="2"/>
    <x v="20"/>
    <x v="4"/>
    <n v="221"/>
    <x v="3"/>
    <n v="200"/>
    <n v="174"/>
    <s v="Ticket + Air travel Package"/>
    <s v="N.A."/>
    <n v="-2267"/>
  </r>
  <r>
    <s v="John Green Quartet"/>
    <x v="2"/>
    <x v="20"/>
    <x v="4"/>
    <n v="335"/>
    <x v="4"/>
    <n v="400"/>
    <n v="356"/>
    <s v="Ticket + Air travel + Hotel Package"/>
    <s v="N.A."/>
    <n v="-2267"/>
  </r>
  <r>
    <s v="Lo schiaccianoci"/>
    <x v="7"/>
    <x v="17"/>
    <x v="5"/>
    <n v="43"/>
    <x v="0"/>
    <n v="680"/>
    <n v="340"/>
    <s v="Seating Cat. 1"/>
    <s v="N.A."/>
    <n v="-2304"/>
  </r>
  <r>
    <s v="Lo schiaccianoci"/>
    <x v="7"/>
    <x v="17"/>
    <x v="5"/>
    <n v="110"/>
    <x v="1"/>
    <n v="250"/>
    <n v="228"/>
    <s v="Seating Cat. 2"/>
    <s v="N.A."/>
    <n v="-2304"/>
  </r>
  <r>
    <s v="Lo schiaccianoci"/>
    <x v="7"/>
    <x v="17"/>
    <x v="5"/>
    <n v="113"/>
    <x v="2"/>
    <n v="200"/>
    <n v="132"/>
    <s v="Seating Cat. 3"/>
    <s v="N.A."/>
    <n v="-2304"/>
  </r>
  <r>
    <s v="Lo schiaccianoci"/>
    <x v="7"/>
    <x v="17"/>
    <x v="5"/>
    <n v="243"/>
    <x v="3"/>
    <n v="300"/>
    <n v="228"/>
    <s v="Ticket + Air travel Package"/>
    <s v="N.A."/>
    <n v="-2304"/>
  </r>
  <r>
    <s v="Lo schiaccianoci"/>
    <x v="7"/>
    <x v="17"/>
    <x v="5"/>
    <n v="33"/>
    <x v="5"/>
    <n v="57"/>
    <n v="42"/>
    <s v="Seating-disabled"/>
    <s v="N.A."/>
    <n v="-2304"/>
  </r>
  <r>
    <s v="Lo schiaccianoci"/>
    <x v="7"/>
    <x v="17"/>
    <x v="5"/>
    <n v="312"/>
    <x v="4"/>
    <n v="300"/>
    <n v="231"/>
    <s v="Ticket + Air travel + Hotel Package"/>
    <s v="N.A."/>
    <n v="-2304"/>
  </r>
  <r>
    <s v="Lo schiaccianoci"/>
    <x v="12"/>
    <x v="37"/>
    <x v="5"/>
    <n v="36"/>
    <x v="0"/>
    <n v="486"/>
    <n v="443"/>
    <s v="Seating Cat. 1"/>
    <s v="N.A."/>
    <n v="-2243"/>
  </r>
  <r>
    <s v="Lo schiaccianoci"/>
    <x v="12"/>
    <x v="37"/>
    <x v="5"/>
    <n v="112"/>
    <x v="1"/>
    <n v="390"/>
    <n v="305"/>
    <s v="Seating Cat. 2"/>
    <s v="N.A."/>
    <n v="-2243"/>
  </r>
  <r>
    <s v="Lo schiaccianoci"/>
    <x v="12"/>
    <x v="37"/>
    <x v="5"/>
    <n v="122"/>
    <x v="2"/>
    <n v="204"/>
    <n v="184"/>
    <s v="Seating Cat. 3"/>
    <s v="N.A."/>
    <n v="-2243"/>
  </r>
  <r>
    <s v="Lo schiaccianoci"/>
    <x v="12"/>
    <x v="37"/>
    <x v="5"/>
    <n v="216"/>
    <x v="3"/>
    <n v="300"/>
    <n v="159"/>
    <s v="Ticket + Air travel Package"/>
    <s v="N.A."/>
    <n v="-2243"/>
  </r>
  <r>
    <s v="Lo schiaccianoci"/>
    <x v="12"/>
    <x v="37"/>
    <x v="5"/>
    <n v="31"/>
    <x v="5"/>
    <n v="58"/>
    <n v="43"/>
    <s v="Seating-disabled"/>
    <s v="N.A."/>
    <n v="-2243"/>
  </r>
  <r>
    <s v="Lo schiaccianoci"/>
    <x v="12"/>
    <x v="37"/>
    <x v="5"/>
    <n v="24"/>
    <x v="6"/>
    <n v="150"/>
    <n v="81"/>
    <s v="Parking place"/>
    <s v="N.A."/>
    <n v="-2243"/>
  </r>
  <r>
    <s v="Lo schiaccianoci"/>
    <x v="12"/>
    <x v="37"/>
    <x v="5"/>
    <n v="330"/>
    <x v="4"/>
    <n v="300"/>
    <n v="159"/>
    <s v="Ticket + Air travel + Hotel Package"/>
    <s v="N.A."/>
    <n v="-2243"/>
  </r>
  <r>
    <s v="London Blues Fest"/>
    <x v="7"/>
    <x v="38"/>
    <x v="3"/>
    <s v=""/>
    <x v="7"/>
    <n v="75000"/>
    <n v="48000"/>
    <s v="General Admission (1 day)"/>
    <s v="N.A."/>
    <n v="-2302"/>
  </r>
  <r>
    <s v="London Blues Fest"/>
    <x v="7"/>
    <x v="38"/>
    <x v="3"/>
    <n v="78"/>
    <x v="0"/>
    <n v="2500"/>
    <n v="2275"/>
    <s v="Seating Cat. 1"/>
    <s v="N.A."/>
    <n v="-2302"/>
  </r>
  <r>
    <s v="London Blues Fest"/>
    <x v="7"/>
    <x v="38"/>
    <x v="3"/>
    <s v=""/>
    <x v="9"/>
    <n v="75000"/>
    <n v="47250"/>
    <s v="General Admission (season ticket)"/>
    <s v="N.A."/>
    <n v="-2302"/>
  </r>
  <r>
    <s v="London Blues Fest"/>
    <x v="7"/>
    <x v="38"/>
    <x v="3"/>
    <n v="28"/>
    <x v="5"/>
    <n v="115"/>
    <n v="92"/>
    <s v="Seating-disabled"/>
    <s v="N.A."/>
    <n v="-2302"/>
  </r>
  <r>
    <s v="London Blues Fest"/>
    <x v="7"/>
    <x v="30"/>
    <x v="3"/>
    <s v=""/>
    <x v="7"/>
    <n v="75000"/>
    <n v="70500"/>
    <s v="General Admission (1 day)"/>
    <s v="N.A."/>
    <n v="-2302"/>
  </r>
  <r>
    <s v="London Blues Fest"/>
    <x v="7"/>
    <x v="30"/>
    <x v="3"/>
    <n v="77"/>
    <x v="0"/>
    <n v="2500"/>
    <n v="1750"/>
    <s v="Seating Cat. 1"/>
    <s v="N.A."/>
    <n v="-2302"/>
  </r>
  <r>
    <s v="London Blues Fest"/>
    <x v="7"/>
    <x v="30"/>
    <x v="3"/>
    <n v="22"/>
    <x v="5"/>
    <n v="120"/>
    <n v="90"/>
    <s v="Seating-disabled"/>
    <s v="N.A."/>
    <n v="-2302"/>
  </r>
  <r>
    <s v="London Blues Fest"/>
    <x v="7"/>
    <x v="30"/>
    <x v="3"/>
    <n v="247"/>
    <x v="3"/>
    <n v="200"/>
    <n v="158"/>
    <s v="Ticket + Air travel Package"/>
    <s v="N.A."/>
    <n v="-2302"/>
  </r>
  <r>
    <s v="London Blues Fest"/>
    <x v="7"/>
    <x v="30"/>
    <x v="3"/>
    <n v="198"/>
    <x v="9"/>
    <n v="75000"/>
    <n v="45750"/>
    <s v="General Admission (season ticket)"/>
    <s v="N.A."/>
    <n v="-2302"/>
  </r>
  <r>
    <s v="London Blues Fest"/>
    <x v="7"/>
    <x v="30"/>
    <x v="3"/>
    <n v="377"/>
    <x v="4"/>
    <n v="300"/>
    <n v="255"/>
    <s v="Ticket + Air travel + Hotel Package"/>
    <s v="N.A."/>
    <n v="-2302"/>
  </r>
  <r>
    <s v="Mark Rodgers"/>
    <x v="6"/>
    <x v="39"/>
    <x v="2"/>
    <n v="80"/>
    <x v="7"/>
    <n v="10658"/>
    <n v="6076"/>
    <s v="General Admission (1 day)"/>
    <s v="N.A."/>
    <n v="-2273"/>
  </r>
  <r>
    <s v="Mark Rodgers"/>
    <x v="5"/>
    <x v="25"/>
    <x v="2"/>
    <n v="60"/>
    <x v="7"/>
    <n v="12049"/>
    <n v="6025"/>
    <s v="General Admission (1 day)"/>
    <s v="N.A."/>
    <n v="-2266"/>
  </r>
  <r>
    <s v="Mark Rodgers"/>
    <x v="7"/>
    <x v="10"/>
    <x v="2"/>
    <n v="45"/>
    <x v="7"/>
    <n v="8862"/>
    <n v="7445"/>
    <s v="General Admission (1 day)"/>
    <s v="N.A."/>
    <n v="-2255"/>
  </r>
  <r>
    <s v="Mark Rodgers"/>
    <x v="8"/>
    <x v="11"/>
    <x v="2"/>
    <n v="30"/>
    <x v="7"/>
    <n v="12580"/>
    <n v="8177"/>
    <s v="General Admission (1 day)"/>
    <s v="N.A."/>
    <n v="-2251"/>
  </r>
  <r>
    <s v="Mark Rodgers"/>
    <x v="11"/>
    <x v="40"/>
    <x v="2"/>
    <n v="60"/>
    <x v="7"/>
    <n v="9749"/>
    <n v="7507"/>
    <s v="General Admission (1 day)"/>
    <s v="N.A."/>
    <n v="-2247"/>
  </r>
  <r>
    <s v="Midnight Soul"/>
    <x v="1"/>
    <x v="41"/>
    <x v="2"/>
    <n v="74"/>
    <x v="7"/>
    <n v="6853"/>
    <n v="4181"/>
    <s v="General Admission (1 day)"/>
    <s v="N.A."/>
    <n v="-2303"/>
  </r>
  <r>
    <s v="Midnight Soul"/>
    <x v="2"/>
    <x v="30"/>
    <x v="2"/>
    <n v="61"/>
    <x v="7"/>
    <n v="11952"/>
    <n v="9443"/>
    <s v="General Admission (1 day)"/>
    <s v="N.A."/>
    <n v="-2302"/>
  </r>
  <r>
    <s v="Midnight Soul"/>
    <x v="2"/>
    <x v="30"/>
    <x v="2"/>
    <n v="78"/>
    <x v="0"/>
    <n v="1000"/>
    <n v="950"/>
    <s v="Seating Cat. 1"/>
    <s v="N.A."/>
    <n v="-2302"/>
  </r>
  <r>
    <s v="Midnight Soul"/>
    <x v="2"/>
    <x v="30"/>
    <x v="2"/>
    <n v="266"/>
    <x v="3"/>
    <n v="300"/>
    <n v="261"/>
    <s v="Ticket + Air travel Package"/>
    <s v="N.A."/>
    <n v="-2302"/>
  </r>
  <r>
    <s v="Midnight Soul"/>
    <x v="2"/>
    <x v="30"/>
    <x v="2"/>
    <n v="343"/>
    <x v="4"/>
    <n v="200"/>
    <n v="160"/>
    <s v="Ticket + Air travel + Hotel Package"/>
    <s v="N.A."/>
    <n v="-2302"/>
  </r>
  <r>
    <s v="Midnight Soul"/>
    <x v="0"/>
    <x v="42"/>
    <x v="2"/>
    <n v="61"/>
    <x v="7"/>
    <n v="7508"/>
    <n v="7133"/>
    <s v="General Admission (1 day)"/>
    <s v="N.A."/>
    <n v="-2300"/>
  </r>
  <r>
    <s v="Notre Dame de Paris"/>
    <x v="6"/>
    <x v="43"/>
    <x v="1"/>
    <n v="59"/>
    <x v="0"/>
    <n v="688"/>
    <n v="448"/>
    <s v="Seating Cat. 1"/>
    <s v="N.A."/>
    <n v="-2296"/>
  </r>
  <r>
    <s v="Notre Dame de Paris"/>
    <x v="6"/>
    <x v="43"/>
    <x v="1"/>
    <n v="86"/>
    <x v="1"/>
    <n v="498"/>
    <n v="344"/>
    <s v="Seating Cat. 2"/>
    <s v="N.A."/>
    <n v="-2296"/>
  </r>
  <r>
    <s v="Notre Dame de Paris"/>
    <x v="7"/>
    <x v="44"/>
    <x v="1"/>
    <n v="43"/>
    <x v="0"/>
    <n v="742"/>
    <n v="498"/>
    <s v="Seating Cat. 1"/>
    <s v="N.A."/>
    <n v="-2290"/>
  </r>
  <r>
    <s v="Notre Dame de Paris"/>
    <x v="7"/>
    <x v="44"/>
    <x v="1"/>
    <n v="81"/>
    <x v="1"/>
    <n v="397"/>
    <n v="326"/>
    <s v="Seating Cat. 2"/>
    <s v="N.A."/>
    <n v="-2290"/>
  </r>
  <r>
    <s v="Notre Dame de Paris"/>
    <x v="5"/>
    <x v="6"/>
    <x v="1"/>
    <n v="48"/>
    <x v="0"/>
    <n v="648"/>
    <n v="551"/>
    <s v="Seating Cat. 1"/>
    <s v="N.A."/>
    <n v="-2287"/>
  </r>
  <r>
    <s v="Notre Dame de Paris"/>
    <x v="5"/>
    <x v="6"/>
    <x v="1"/>
    <n v="85"/>
    <x v="1"/>
    <n v="412"/>
    <n v="351"/>
    <s v="Seating Cat. 2"/>
    <s v="N.A."/>
    <n v="-2287"/>
  </r>
  <r>
    <s v="Notre Dame de Paris"/>
    <x v="5"/>
    <x v="45"/>
    <x v="1"/>
    <n v="74"/>
    <x v="0"/>
    <n v="648"/>
    <n v="564"/>
    <s v="Seating Cat. 1"/>
    <s v="N.A."/>
    <n v="-2284"/>
  </r>
  <r>
    <s v="Notre Dame de Paris"/>
    <x v="5"/>
    <x v="45"/>
    <x v="1"/>
    <n v="71"/>
    <x v="1"/>
    <n v="412"/>
    <n v="338"/>
    <s v="Seating Cat. 2"/>
    <s v="N.A."/>
    <n v="-2284"/>
  </r>
  <r>
    <s v="Notre Dame de Paris"/>
    <x v="7"/>
    <x v="46"/>
    <x v="1"/>
    <n v="67"/>
    <x v="0"/>
    <n v="742"/>
    <n v="683"/>
    <s v="Seating Cat. 1"/>
    <s v="N.A."/>
    <n v="-2282"/>
  </r>
  <r>
    <s v="Notre Dame de Paris"/>
    <x v="7"/>
    <x v="46"/>
    <x v="1"/>
    <n v="100"/>
    <x v="1"/>
    <n v="397"/>
    <n v="270"/>
    <s v="Seating Cat. 2"/>
    <n v="0.15"/>
    <n v="-2282"/>
  </r>
  <r>
    <s v="Notre Dame de Paris"/>
    <x v="5"/>
    <x v="20"/>
    <x v="1"/>
    <n v="58"/>
    <x v="0"/>
    <n v="648"/>
    <n v="337"/>
    <s v="Seating Cat. 1"/>
    <s v="N.A."/>
    <n v="-2267"/>
  </r>
  <r>
    <s v="Notre Dame de Paris"/>
    <x v="5"/>
    <x v="20"/>
    <x v="1"/>
    <n v="87"/>
    <x v="1"/>
    <n v="412"/>
    <n v="367"/>
    <s v="Seating Cat. 2"/>
    <s v="N.A."/>
    <n v="-2267"/>
  </r>
  <r>
    <s v="Notre Dame de Paris"/>
    <x v="6"/>
    <x v="47"/>
    <x v="1"/>
    <n v="47"/>
    <x v="0"/>
    <n v="688"/>
    <n v="523"/>
    <s v="Seating Cat. 1"/>
    <s v="N.A."/>
    <n v="-2264"/>
  </r>
  <r>
    <s v="Notre Dame de Paris"/>
    <x v="6"/>
    <x v="47"/>
    <x v="1"/>
    <n v="85"/>
    <x v="1"/>
    <n v="498"/>
    <n v="414"/>
    <s v="Seating Cat. 2"/>
    <s v="N.A."/>
    <n v="-2264"/>
  </r>
  <r>
    <s v="Notre Dame de Paris"/>
    <x v="6"/>
    <x v="48"/>
    <x v="1"/>
    <n v="55"/>
    <x v="0"/>
    <n v="688"/>
    <n v="523"/>
    <s v="Seating Cat. 1"/>
    <s v="N.A."/>
    <n v="-2260"/>
  </r>
  <r>
    <s v="Notre Dame de Paris"/>
    <x v="6"/>
    <x v="48"/>
    <x v="1"/>
    <n v="96"/>
    <x v="1"/>
    <n v="498"/>
    <n v="469"/>
    <s v="Seating Cat. 2"/>
    <s v="N.A."/>
    <n v="-2260"/>
  </r>
  <r>
    <s v="Orchestra e Coro dell'Opera"/>
    <x v="2"/>
    <x v="38"/>
    <x v="4"/>
    <n v="31"/>
    <x v="0"/>
    <n v="780"/>
    <n v="546"/>
    <s v="Seating Cat. 1"/>
    <s v="N.A."/>
    <n v="-2302"/>
  </r>
  <r>
    <s v="Orchestra e Coro dell'Opera"/>
    <x v="5"/>
    <x v="49"/>
    <x v="4"/>
    <n v="50"/>
    <x v="0"/>
    <n v="1960"/>
    <n v="1862"/>
    <s v="Seating Cat. 1"/>
    <n v="0.1"/>
    <n v="-2287"/>
  </r>
  <r>
    <s v="Orchestra e Coro dell'Opera"/>
    <x v="5"/>
    <x v="49"/>
    <x v="4"/>
    <n v="101"/>
    <x v="1"/>
    <n v="496"/>
    <n v="248"/>
    <s v="Seating Cat. 2"/>
    <s v="N.A."/>
    <n v="-2287"/>
  </r>
  <r>
    <s v="Orchestra e Coro dell'Opera"/>
    <x v="5"/>
    <x v="49"/>
    <x v="4"/>
    <n v="173"/>
    <x v="2"/>
    <n v="248"/>
    <n v="144"/>
    <s v="Seating Cat. 3"/>
    <s v="N.A."/>
    <n v="-2287"/>
  </r>
  <r>
    <s v="Orchestra e Coro dell'Opera"/>
    <x v="5"/>
    <x v="49"/>
    <x v="4"/>
    <n v="30"/>
    <x v="5"/>
    <n v="91"/>
    <n v="49"/>
    <s v="Seating-disabled"/>
    <s v="N.A."/>
    <n v="-2287"/>
  </r>
  <r>
    <s v="Orchestra e Coro dell'Opera"/>
    <x v="5"/>
    <x v="49"/>
    <x v="4"/>
    <n v="39"/>
    <x v="6"/>
    <n v="100"/>
    <n v="94"/>
    <s v="Parking place"/>
    <s v="N.A."/>
    <n v="-2287"/>
  </r>
  <r>
    <s v="Orchestra e Coro dell'Opera"/>
    <x v="1"/>
    <x v="25"/>
    <x v="4"/>
    <n v="42"/>
    <x v="0"/>
    <n v="1560"/>
    <n v="890"/>
    <s v="Seating Cat. 1"/>
    <s v="N.A."/>
    <n v="-2266"/>
  </r>
  <r>
    <s v="Orchestra e Coro dell'Opera"/>
    <x v="1"/>
    <x v="25"/>
    <x v="4"/>
    <n v="74"/>
    <x v="1"/>
    <n v="542"/>
    <n v="499"/>
    <s v="Seating Cat. 2"/>
    <s v="N.A."/>
    <n v="-2266"/>
  </r>
  <r>
    <s v="Orchestra e Coro dell'Opera"/>
    <x v="1"/>
    <x v="25"/>
    <x v="4"/>
    <n v="35"/>
    <x v="5"/>
    <n v="108"/>
    <n v="69"/>
    <s v="Seating-disabled"/>
    <s v="N.A."/>
    <n v="-2266"/>
  </r>
  <r>
    <s v="Orchestra e Coro dell'Opera"/>
    <x v="1"/>
    <x v="25"/>
    <x v="4"/>
    <n v="29"/>
    <x v="6"/>
    <n v="150"/>
    <n v="107"/>
    <s v="Parking place"/>
    <s v="N.A."/>
    <n v="-2266"/>
  </r>
  <r>
    <s v="Pause"/>
    <x v="10"/>
    <x v="50"/>
    <x v="1"/>
    <n v="31"/>
    <x v="7"/>
    <n v="12853"/>
    <n v="11825"/>
    <s v="General Admission (1 day)"/>
    <s v="N.A."/>
    <n v="-2291"/>
  </r>
  <r>
    <s v="Pause"/>
    <x v="4"/>
    <x v="2"/>
    <x v="1"/>
    <n v="68"/>
    <x v="7"/>
    <n v="11498"/>
    <n v="5864"/>
    <s v="General Admission (1 day)"/>
    <s v="N.A."/>
    <n v="-2288"/>
  </r>
  <r>
    <s v="Pause"/>
    <x v="5"/>
    <x v="29"/>
    <x v="1"/>
    <n v="57"/>
    <x v="7"/>
    <n v="12184"/>
    <n v="9748"/>
    <s v="General Admission (1 day)"/>
    <s v="N.A."/>
    <n v="-2272"/>
  </r>
  <r>
    <s v="Plastic Jungle"/>
    <x v="11"/>
    <x v="51"/>
    <x v="2"/>
    <n v="41"/>
    <x v="7"/>
    <n v="9895"/>
    <n v="4948"/>
    <s v="General Admission (1 day)"/>
    <s v="N.A."/>
    <n v="-2254"/>
  </r>
  <r>
    <s v="Plastic Jungle"/>
    <x v="11"/>
    <x v="51"/>
    <x v="2"/>
    <n v="57"/>
    <x v="0"/>
    <n v="460"/>
    <n v="253"/>
    <s v="Seating Cat. 1"/>
    <s v="N.A."/>
    <n v="-2254"/>
  </r>
  <r>
    <s v="Plastic Jungle"/>
    <x v="11"/>
    <x v="51"/>
    <x v="2"/>
    <n v="232"/>
    <x v="3"/>
    <n v="200"/>
    <n v="156"/>
    <s v="Ticket + Air travel Package"/>
    <s v="N.A."/>
    <n v="-2254"/>
  </r>
  <r>
    <s v="Plastic Jungle"/>
    <x v="11"/>
    <x v="51"/>
    <x v="2"/>
    <n v="350"/>
    <x v="4"/>
    <n v="400"/>
    <n v="380"/>
    <s v="Ticket + Air travel + Hotel Package"/>
    <s v="N.A."/>
    <n v="-2254"/>
  </r>
  <r>
    <s v="Plastic Jungle"/>
    <x v="12"/>
    <x v="40"/>
    <x v="2"/>
    <n v="54"/>
    <x v="7"/>
    <n v="9439"/>
    <n v="8779"/>
    <s v="General Admission (1 day)"/>
    <s v="N.A."/>
    <n v="-2247"/>
  </r>
  <r>
    <s v="Plastic Jungle"/>
    <x v="12"/>
    <x v="40"/>
    <x v="2"/>
    <n v="70"/>
    <x v="0"/>
    <n v="988"/>
    <n v="771"/>
    <s v="Seating Cat. 1"/>
    <s v="N.A."/>
    <n v="-2247"/>
  </r>
  <r>
    <s v="Plastic Jungle"/>
    <x v="12"/>
    <x v="40"/>
    <x v="2"/>
    <n v="202"/>
    <x v="3"/>
    <n v="300"/>
    <n v="255"/>
    <s v="Ticket + Air travel Package"/>
    <s v="N.A."/>
    <n v="-2247"/>
  </r>
  <r>
    <s v="Plastic Jungle"/>
    <x v="12"/>
    <x v="40"/>
    <x v="2"/>
    <n v="301"/>
    <x v="4"/>
    <n v="300"/>
    <n v="258"/>
    <s v="Ticket + Air travel + Hotel Package"/>
    <s v="N.A."/>
    <n v="-2247"/>
  </r>
  <r>
    <s v="Rock in London"/>
    <x v="7"/>
    <x v="39"/>
    <x v="3"/>
    <n v="50"/>
    <x v="7"/>
    <n v="75000"/>
    <n v="54750"/>
    <s v="General Admission (1 day)"/>
    <n v="0.1"/>
    <n v="-2273"/>
  </r>
  <r>
    <s v="Rock in London"/>
    <x v="7"/>
    <x v="39"/>
    <x v="3"/>
    <n v="94"/>
    <x v="8"/>
    <n v="50000"/>
    <n v="43500"/>
    <s v="General Admission (2 days)"/>
    <s v="N.A."/>
    <n v="-2273"/>
  </r>
  <r>
    <s v="Rock in London"/>
    <x v="7"/>
    <x v="39"/>
    <x v="3"/>
    <n v="119"/>
    <x v="9"/>
    <n v="50000"/>
    <n v="33000"/>
    <s v="General Admission (season ticket)"/>
    <s v="N.A."/>
    <n v="-2273"/>
  </r>
  <r>
    <s v="Rock in London"/>
    <x v="7"/>
    <x v="39"/>
    <x v="3"/>
    <n v="35"/>
    <x v="5"/>
    <n v="108"/>
    <n v="83"/>
    <s v="Seating-disabled"/>
    <s v="N.A."/>
    <n v="-2273"/>
  </r>
  <r>
    <s v="Rock in London"/>
    <x v="7"/>
    <x v="39"/>
    <x v="3"/>
    <n v="21"/>
    <x v="6"/>
    <n v="150"/>
    <n v="83"/>
    <s v="Parking place"/>
    <s v="N.A."/>
    <n v="-2273"/>
  </r>
  <r>
    <s v="Rock in London"/>
    <x v="7"/>
    <x v="39"/>
    <x v="3"/>
    <n v="63"/>
    <x v="0"/>
    <n v="2500"/>
    <n v="1650"/>
    <s v="Seating Cat. 1"/>
    <s v="N.A."/>
    <n v="-2273"/>
  </r>
  <r>
    <s v="Rock in London"/>
    <x v="7"/>
    <x v="52"/>
    <x v="3"/>
    <n v="57"/>
    <x v="7"/>
    <n v="50000"/>
    <n v="40000"/>
    <s v="General Admission (1 day)"/>
    <s v="N.A."/>
    <n v="-2272"/>
  </r>
  <r>
    <s v="Rock in London"/>
    <x v="7"/>
    <x v="52"/>
    <x v="3"/>
    <n v="34"/>
    <x v="5"/>
    <n v="90"/>
    <n v="45"/>
    <s v="Seating-disabled"/>
    <s v="N.A."/>
    <n v="-2272"/>
  </r>
  <r>
    <s v="Rock in London"/>
    <x v="7"/>
    <x v="52"/>
    <x v="3"/>
    <n v="31"/>
    <x v="6"/>
    <n v="200"/>
    <n v="160"/>
    <s v="Parking place"/>
    <s v="N.A."/>
    <n v="-2272"/>
  </r>
  <r>
    <s v="Rock in London"/>
    <x v="7"/>
    <x v="52"/>
    <x v="3"/>
    <n v="54"/>
    <x v="0"/>
    <n v="2500"/>
    <n v="1275"/>
    <s v="Seating Cat. 1"/>
    <s v="N.A."/>
    <n v="-2272"/>
  </r>
  <r>
    <s v="Rock in London"/>
    <x v="7"/>
    <x v="31"/>
    <x v="3"/>
    <n v="40"/>
    <x v="7"/>
    <n v="75000"/>
    <n v="40500"/>
    <s v="General Admission (1 day)"/>
    <s v="N.A."/>
    <n v="-2272"/>
  </r>
  <r>
    <s v="Rock in London"/>
    <x v="7"/>
    <x v="31"/>
    <x v="3"/>
    <n v="276"/>
    <x v="3"/>
    <n v="300"/>
    <n v="150"/>
    <s v="Ticket + Air travel Package"/>
    <s v="N.A."/>
    <n v="-2272"/>
  </r>
  <r>
    <s v="Rock in London"/>
    <x v="7"/>
    <x v="31"/>
    <x v="3"/>
    <n v="28"/>
    <x v="5"/>
    <n v="55"/>
    <n v="44"/>
    <s v="Seating-disabled"/>
    <s v="N.A."/>
    <n v="-2272"/>
  </r>
  <r>
    <s v="Rock in London"/>
    <x v="7"/>
    <x v="31"/>
    <x v="3"/>
    <n v="21"/>
    <x v="6"/>
    <n v="150"/>
    <n v="80"/>
    <s v="Parking place"/>
    <s v="N.A."/>
    <n v="-2272"/>
  </r>
  <r>
    <s v="Rock in London"/>
    <x v="7"/>
    <x v="31"/>
    <x v="3"/>
    <n v="62"/>
    <x v="0"/>
    <n v="2500"/>
    <n v="1650"/>
    <s v="Seating Cat. 1"/>
    <s v="N.A."/>
    <n v="-2272"/>
  </r>
  <r>
    <s v="Rock in London"/>
    <x v="7"/>
    <x v="31"/>
    <x v="3"/>
    <n v="380"/>
    <x v="4"/>
    <n v="300"/>
    <n v="159"/>
    <s v="Ticket + Air travel + Hotel Package"/>
    <s v="N.A."/>
    <n v="-2272"/>
  </r>
  <r>
    <s v="Romeo and Juliet"/>
    <x v="5"/>
    <x v="30"/>
    <x v="6"/>
    <n v="64"/>
    <x v="0"/>
    <n v="978"/>
    <n v="558"/>
    <s v="Seating Cat. 1"/>
    <s v="N.A."/>
    <n v="-2302"/>
  </r>
  <r>
    <s v="Romeo and Juliet"/>
    <x v="5"/>
    <x v="30"/>
    <x v="6"/>
    <n v="101"/>
    <x v="1"/>
    <n v="453"/>
    <n v="413"/>
    <s v="Seating Cat. 2"/>
    <s v="N.A."/>
    <n v="-2302"/>
  </r>
  <r>
    <s v="Romeo and Juliet"/>
    <x v="5"/>
    <x v="30"/>
    <x v="6"/>
    <n v="26"/>
    <x v="5"/>
    <n v="104"/>
    <n v="91"/>
    <s v="Seating-disabled"/>
    <s v="N.A."/>
    <n v="-2302"/>
  </r>
  <r>
    <s v="Romeo and Juliet"/>
    <x v="5"/>
    <x v="30"/>
    <x v="6"/>
    <n v="34"/>
    <x v="6"/>
    <n v="150"/>
    <n v="140"/>
    <s v="Parking place"/>
    <s v="N.A."/>
    <n v="-2302"/>
  </r>
  <r>
    <s v="Romeo and Juliet"/>
    <x v="5"/>
    <x v="30"/>
    <x v="6"/>
    <n v="188"/>
    <x v="3"/>
    <n v="200"/>
    <n v="122"/>
    <s v="Ticket + Air travel Package"/>
    <s v="N.A."/>
    <n v="-2302"/>
  </r>
  <r>
    <s v="Romeo and Juliet"/>
    <x v="5"/>
    <x v="30"/>
    <x v="6"/>
    <n v="344"/>
    <x v="4"/>
    <n v="200"/>
    <n v="142"/>
    <s v="Ticket + Air travel + Hotel Package"/>
    <s v="N.A."/>
    <n v="-2302"/>
  </r>
  <r>
    <s v="Romeo and Juliet"/>
    <x v="9"/>
    <x v="42"/>
    <x v="6"/>
    <n v="41"/>
    <x v="0"/>
    <n v="1340"/>
    <n v="912"/>
    <s v="Seating Cat. 1"/>
    <s v="N.A."/>
    <n v="-2300"/>
  </r>
  <r>
    <s v="Romeo and Juliet"/>
    <x v="9"/>
    <x v="42"/>
    <x v="6"/>
    <n v="190"/>
    <x v="3"/>
    <n v="300"/>
    <n v="267"/>
    <s v="Ticket + Air travel Package"/>
    <s v="N.A."/>
    <n v="-2300"/>
  </r>
  <r>
    <s v="Romeo and Juliet"/>
    <x v="9"/>
    <x v="42"/>
    <x v="6"/>
    <n v="360"/>
    <x v="4"/>
    <n v="400"/>
    <n v="348"/>
    <s v="Ticket + Air travel + Hotel Package"/>
    <s v="N.A."/>
    <n v="-2300"/>
  </r>
  <r>
    <s v="Romeo and Juliet"/>
    <x v="11"/>
    <x v="53"/>
    <x v="6"/>
    <n v="79"/>
    <x v="0"/>
    <n v="946"/>
    <n v="748"/>
    <s v="Seating Cat. 1"/>
    <s v="N.A."/>
    <n v="-2297"/>
  </r>
  <r>
    <s v="Romeo and Juliet"/>
    <x v="11"/>
    <x v="53"/>
    <x v="6"/>
    <n v="212"/>
    <x v="3"/>
    <n v="300"/>
    <n v="174"/>
    <s v="Ticket + Air travel Package"/>
    <s v="N.A."/>
    <n v="-2297"/>
  </r>
  <r>
    <s v="Romeo and Juliet"/>
    <x v="11"/>
    <x v="53"/>
    <x v="6"/>
    <n v="306"/>
    <x v="4"/>
    <n v="300"/>
    <n v="183"/>
    <s v="Ticket + Air travel + Hotel Package"/>
    <s v="N.A."/>
    <n v="-2297"/>
  </r>
  <r>
    <s v="Romeo and Juliet"/>
    <x v="9"/>
    <x v="54"/>
    <x v="6"/>
    <n v="47"/>
    <x v="0"/>
    <n v="1250"/>
    <n v="1113"/>
    <s v="Seating Cat. 1"/>
    <s v="N.A."/>
    <n v="-2292"/>
  </r>
  <r>
    <s v="Romeo and Juliet"/>
    <x v="9"/>
    <x v="54"/>
    <x v="6"/>
    <n v="261"/>
    <x v="3"/>
    <n v="300"/>
    <n v="213"/>
    <s v="Ticket + Air travel Package"/>
    <s v="N.A."/>
    <n v="-2292"/>
  </r>
  <r>
    <s v="Romeo and Juliet"/>
    <x v="9"/>
    <x v="54"/>
    <x v="6"/>
    <n v="397"/>
    <x v="4"/>
    <n v="200"/>
    <n v="142"/>
    <s v="Ticket + Air travel + Hotel Package"/>
    <s v="N.A."/>
    <n v="-2292"/>
  </r>
  <r>
    <s v="Romeo and Juliet"/>
    <x v="5"/>
    <x v="7"/>
    <x v="6"/>
    <n v="64"/>
    <x v="0"/>
    <n v="648"/>
    <n v="415"/>
    <s v="Seating Cat. 1"/>
    <s v="N.A."/>
    <n v="-2282"/>
  </r>
  <r>
    <s v="Romeo and Juliet"/>
    <x v="5"/>
    <x v="7"/>
    <x v="6"/>
    <n v="91"/>
    <x v="1"/>
    <n v="412"/>
    <n v="223"/>
    <s v="Seating Cat. 2"/>
    <s v="N.A."/>
    <n v="-2282"/>
  </r>
  <r>
    <s v="Romeo and Juliet"/>
    <x v="5"/>
    <x v="7"/>
    <x v="6"/>
    <n v="24"/>
    <x v="5"/>
    <n v="120"/>
    <n v="93"/>
    <s v="Seating-disabled"/>
    <s v="N.A."/>
    <n v="-2282"/>
  </r>
  <r>
    <s v="Romeo and Juliet"/>
    <x v="5"/>
    <x v="7"/>
    <x v="6"/>
    <n v="30"/>
    <x v="6"/>
    <n v="150"/>
    <n v="89"/>
    <s v="Parking place"/>
    <s v="N.A."/>
    <n v="-2282"/>
  </r>
  <r>
    <s v="Romeo and Juliet"/>
    <x v="5"/>
    <x v="7"/>
    <x v="6"/>
    <n v="291"/>
    <x v="3"/>
    <n v="400"/>
    <n v="368"/>
    <s v="Ticket + Air travel Package"/>
    <s v="N.A."/>
    <n v="-2282"/>
  </r>
  <r>
    <s v="Romeo and Juliet"/>
    <x v="5"/>
    <x v="7"/>
    <x v="6"/>
    <n v="345"/>
    <x v="4"/>
    <n v="300"/>
    <n v="210"/>
    <s v="Ticket + Air travel + Hotel Package"/>
    <s v="N.A."/>
    <n v="-2282"/>
  </r>
  <r>
    <s v="Romeo and Juliet"/>
    <x v="7"/>
    <x v="22"/>
    <x v="6"/>
    <n v="40"/>
    <x v="0"/>
    <n v="1104"/>
    <n v="994"/>
    <s v="Seating Cat. 1"/>
    <s v="N.A."/>
    <n v="-2277"/>
  </r>
  <r>
    <s v="Romeo and Juliet"/>
    <x v="7"/>
    <x v="22"/>
    <x v="6"/>
    <n v="77"/>
    <x v="1"/>
    <n v="386"/>
    <n v="205"/>
    <s v="Seating Cat. 2"/>
    <s v="N.A."/>
    <n v="-2277"/>
  </r>
  <r>
    <s v="Romeo and Juliet"/>
    <x v="7"/>
    <x v="22"/>
    <x v="6"/>
    <n v="165"/>
    <x v="2"/>
    <n v="210"/>
    <n v="175"/>
    <s v="Seating Cat. 3"/>
    <s v="N.A."/>
    <n v="-2277"/>
  </r>
  <r>
    <s v="Romeo and Juliet"/>
    <x v="7"/>
    <x v="22"/>
    <x v="6"/>
    <n v="289"/>
    <x v="3"/>
    <n v="300"/>
    <n v="177"/>
    <s v="Ticket + Air travel Package"/>
    <s v="N.A."/>
    <n v="-2277"/>
  </r>
  <r>
    <s v="Romeo and Juliet"/>
    <x v="7"/>
    <x v="22"/>
    <x v="6"/>
    <n v="349"/>
    <x v="4"/>
    <n v="300"/>
    <n v="267"/>
    <s v="Ticket + Air travel + Hotel Package"/>
    <s v="N.A."/>
    <n v="-2277"/>
  </r>
  <r>
    <s v="Romeo and Juliet"/>
    <x v="7"/>
    <x v="24"/>
    <x v="6"/>
    <n v="74"/>
    <x v="0"/>
    <n v="1104"/>
    <n v="619"/>
    <s v="Seating Cat. 1"/>
    <s v="N.A."/>
    <n v="-2268"/>
  </r>
  <r>
    <s v="Romeo and Juliet"/>
    <x v="7"/>
    <x v="24"/>
    <x v="6"/>
    <n v="82"/>
    <x v="1"/>
    <n v="386"/>
    <n v="221"/>
    <s v="Seating Cat. 2"/>
    <s v="N.A."/>
    <n v="-2268"/>
  </r>
  <r>
    <s v="Romeo and Juliet"/>
    <x v="7"/>
    <x v="24"/>
    <x v="6"/>
    <n v="189"/>
    <x v="2"/>
    <n v="210"/>
    <n v="135"/>
    <s v="Seating Cat. 3"/>
    <s v="N.A."/>
    <n v="-2268"/>
  </r>
  <r>
    <s v="Romeo and Juliet"/>
    <x v="7"/>
    <x v="24"/>
    <x v="6"/>
    <n v="299"/>
    <x v="3"/>
    <n v="200"/>
    <n v="180"/>
    <s v="Ticket + Air travel Package"/>
    <s v="N.A."/>
    <n v="-2268"/>
  </r>
  <r>
    <s v="Romeo and Juliet"/>
    <x v="7"/>
    <x v="24"/>
    <x v="6"/>
    <n v="311"/>
    <x v="4"/>
    <n v="300"/>
    <n v="258"/>
    <s v="Ticket + Air travel + Hotel Package"/>
    <s v="N.A."/>
    <n v="-2268"/>
  </r>
  <r>
    <s v="Romeo and Juliet"/>
    <x v="7"/>
    <x v="55"/>
    <x v="6"/>
    <n v="62"/>
    <x v="0"/>
    <n v="1104"/>
    <n v="751"/>
    <s v="Seating Cat. 1"/>
    <s v="N.A."/>
    <n v="-2265"/>
  </r>
  <r>
    <s v="Romeo and Juliet"/>
    <x v="7"/>
    <x v="55"/>
    <x v="6"/>
    <n v="96"/>
    <x v="1"/>
    <n v="386"/>
    <n v="263"/>
    <s v="Seating Cat. 2"/>
    <s v="N.A."/>
    <n v="-2265"/>
  </r>
  <r>
    <s v="Romeo and Juliet"/>
    <x v="7"/>
    <x v="55"/>
    <x v="6"/>
    <n v="193"/>
    <x v="2"/>
    <n v="210"/>
    <n v="179"/>
    <s v="Seating Cat. 3"/>
    <s v="N.A."/>
    <n v="-2265"/>
  </r>
  <r>
    <s v="Romeo and Juliet"/>
    <x v="7"/>
    <x v="55"/>
    <x v="6"/>
    <n v="222"/>
    <x v="3"/>
    <n v="400"/>
    <n v="352"/>
    <s v="Ticket + Air travel Package"/>
    <s v="N.A."/>
    <n v="-2265"/>
  </r>
  <r>
    <s v="Romeo and Juliet"/>
    <x v="7"/>
    <x v="55"/>
    <x v="6"/>
    <n v="392"/>
    <x v="4"/>
    <n v="300"/>
    <n v="207"/>
    <s v="Ticket + Air travel + Hotel Package"/>
    <s v="N.A."/>
    <n v="-2265"/>
  </r>
  <r>
    <s v="Romeo and Juliet"/>
    <x v="6"/>
    <x v="5"/>
    <x v="6"/>
    <n v="54"/>
    <x v="0"/>
    <n v="974"/>
    <n v="906"/>
    <s v="Seating Cat. 1"/>
    <s v="N.A."/>
    <n v="-2242"/>
  </r>
  <r>
    <s v="Romeo and Juliet"/>
    <x v="6"/>
    <x v="5"/>
    <x v="6"/>
    <n v="94"/>
    <x v="1"/>
    <n v="495"/>
    <n v="248"/>
    <s v="Seating Cat. 2"/>
    <s v="N.A."/>
    <n v="-2242"/>
  </r>
  <r>
    <s v="Romeo and Juliet"/>
    <x v="6"/>
    <x v="5"/>
    <x v="6"/>
    <n v="300"/>
    <x v="3"/>
    <n v="300"/>
    <n v="276"/>
    <s v="Ticket + Air travel Package"/>
    <s v="N.A."/>
    <n v="-2242"/>
  </r>
  <r>
    <s v="Romeo and Juliet"/>
    <x v="6"/>
    <x v="5"/>
    <x v="6"/>
    <n v="358"/>
    <x v="4"/>
    <n v="300"/>
    <n v="240"/>
    <s v="Ticket + Air travel + Hotel Package"/>
    <s v="N.A."/>
    <n v="-2242"/>
  </r>
  <r>
    <s v="Sing"/>
    <x v="9"/>
    <x v="56"/>
    <x v="2"/>
    <n v="36"/>
    <x v="7"/>
    <n v="10623"/>
    <n v="9136"/>
    <s v="General Admission (1 day)"/>
    <s v="N.A."/>
    <n v="-2289"/>
  </r>
  <r>
    <s v="Sing"/>
    <x v="9"/>
    <x v="56"/>
    <x v="2"/>
    <n v="52"/>
    <x v="0"/>
    <n v="1840"/>
    <n v="1546"/>
    <s v="Seating Cat. 1"/>
    <s v="N.A."/>
    <n v="-2289"/>
  </r>
  <r>
    <s v="Sing"/>
    <x v="9"/>
    <x v="56"/>
    <x v="2"/>
    <n v="89"/>
    <x v="1"/>
    <n v="650"/>
    <n v="540"/>
    <s v="Seating Cat. 2"/>
    <s v="N.A."/>
    <n v="-2289"/>
  </r>
  <r>
    <s v="Sing"/>
    <x v="9"/>
    <x v="56"/>
    <x v="2"/>
    <n v="277"/>
    <x v="3"/>
    <n v="200"/>
    <n v="128"/>
    <s v="Ticket + Air travel Package"/>
    <s v="N.A."/>
    <n v="-2289"/>
  </r>
  <r>
    <s v="Sing"/>
    <x v="9"/>
    <x v="56"/>
    <x v="2"/>
    <n v="336"/>
    <x v="4"/>
    <n v="400"/>
    <n v="296"/>
    <s v="Ticket + Air travel + Hotel Package"/>
    <s v="N.A."/>
    <n v="-2289"/>
  </r>
  <r>
    <s v="Sing"/>
    <x v="2"/>
    <x v="8"/>
    <x v="2"/>
    <n v="54"/>
    <x v="7"/>
    <n v="13177"/>
    <n v="12387"/>
    <s v="General Admission (1 day)"/>
    <s v="N.A."/>
    <n v="-2280"/>
  </r>
  <r>
    <s v="Sing"/>
    <x v="2"/>
    <x v="8"/>
    <x v="2"/>
    <n v="78"/>
    <x v="0"/>
    <n v="1500"/>
    <n v="1110"/>
    <s v="Seating Cat. 1"/>
    <s v="N.A."/>
    <n v="-2280"/>
  </r>
  <r>
    <s v="Sing"/>
    <x v="2"/>
    <x v="8"/>
    <x v="2"/>
    <n v="83"/>
    <x v="1"/>
    <n v="690"/>
    <n v="594"/>
    <s v="Seating Cat. 2"/>
    <s v="N.A."/>
    <n v="-2280"/>
  </r>
  <r>
    <s v="Sing"/>
    <x v="2"/>
    <x v="8"/>
    <x v="2"/>
    <n v="240"/>
    <x v="3"/>
    <n v="300"/>
    <n v="252"/>
    <s v="Ticket + Air travel Package"/>
    <s v="N.A."/>
    <n v="-2280"/>
  </r>
  <r>
    <s v="Sing"/>
    <x v="2"/>
    <x v="8"/>
    <x v="2"/>
    <n v="331"/>
    <x v="4"/>
    <n v="300"/>
    <n v="279"/>
    <s v="Ticket + Air travel + Hotel Package"/>
    <s v="N.A."/>
    <n v="-2280"/>
  </r>
  <r>
    <s v="Sing"/>
    <x v="0"/>
    <x v="21"/>
    <x v="2"/>
    <n v="41"/>
    <x v="7"/>
    <n v="6838"/>
    <n v="6086"/>
    <s v="General Admission (1 day)"/>
    <s v="N.A."/>
    <n v="-2277"/>
  </r>
  <r>
    <s v="Sing"/>
    <x v="0"/>
    <x v="21"/>
    <x v="2"/>
    <n v="70"/>
    <x v="0"/>
    <n v="680"/>
    <n v="470"/>
    <s v="Seating Cat. 1"/>
    <s v="N.A."/>
    <n v="-2277"/>
  </r>
  <r>
    <s v="Sing"/>
    <x v="0"/>
    <x v="21"/>
    <x v="2"/>
    <n v="76"/>
    <x v="1"/>
    <n v="350"/>
    <n v="315"/>
    <s v="Seating Cat. 2"/>
    <s v="N.A."/>
    <n v="-2277"/>
  </r>
  <r>
    <s v="Sing"/>
    <x v="0"/>
    <x v="21"/>
    <x v="2"/>
    <n v="273"/>
    <x v="3"/>
    <n v="300"/>
    <n v="264"/>
    <s v="Ticket + Air travel Package"/>
    <s v="N.A."/>
    <n v="-2277"/>
  </r>
  <r>
    <s v="Sing"/>
    <x v="0"/>
    <x v="21"/>
    <x v="2"/>
    <n v="375"/>
    <x v="4"/>
    <n v="200"/>
    <n v="146"/>
    <s v="Ticket + Air travel + Hotel Package"/>
    <s v="N.A."/>
    <n v="-2277"/>
  </r>
  <r>
    <s v="Sing"/>
    <x v="5"/>
    <x v="23"/>
    <x v="2"/>
    <n v="52"/>
    <x v="7"/>
    <n v="7126"/>
    <n v="4419"/>
    <s v="General Admission (1 day)"/>
    <s v="N.A."/>
    <n v="-2269"/>
  </r>
  <r>
    <s v="Sing"/>
    <x v="5"/>
    <x v="23"/>
    <x v="2"/>
    <n v="40"/>
    <x v="0"/>
    <n v="1500"/>
    <n v="1185"/>
    <s v="Seating Cat. 1"/>
    <s v="N.A."/>
    <n v="-2269"/>
  </r>
  <r>
    <s v="Sing"/>
    <x v="5"/>
    <x v="23"/>
    <x v="2"/>
    <n v="115"/>
    <x v="1"/>
    <n v="500"/>
    <n v="475"/>
    <s v="Seating Cat. 2"/>
    <s v="N.A."/>
    <n v="-2269"/>
  </r>
  <r>
    <s v="Sing"/>
    <x v="5"/>
    <x v="23"/>
    <x v="2"/>
    <n v="240"/>
    <x v="3"/>
    <n v="300"/>
    <n v="186"/>
    <s v="Ticket + Air travel Package"/>
    <s v="N.A."/>
    <n v="-2269"/>
  </r>
  <r>
    <s v="Sing"/>
    <x v="5"/>
    <x v="23"/>
    <x v="2"/>
    <n v="367"/>
    <x v="4"/>
    <n v="300"/>
    <n v="246"/>
    <s v="Ticket + Air travel + Hotel Package"/>
    <s v="N.A."/>
    <n v="-2269"/>
  </r>
  <r>
    <s v="Sing"/>
    <x v="6"/>
    <x v="57"/>
    <x v="2"/>
    <n v="48"/>
    <x v="7"/>
    <n v="10164"/>
    <n v="6810"/>
    <s v="General Admission (1 day)"/>
    <s v="N.A."/>
    <n v="-2242"/>
  </r>
  <r>
    <s v="Sing"/>
    <x v="6"/>
    <x v="57"/>
    <x v="2"/>
    <n v="45"/>
    <x v="0"/>
    <n v="760"/>
    <n v="487"/>
    <s v="Seating Cat. 1"/>
    <s v="N.A."/>
    <n v="-2242"/>
  </r>
  <r>
    <s v="Sing"/>
    <x v="6"/>
    <x v="57"/>
    <x v="2"/>
    <n v="85"/>
    <x v="1"/>
    <n v="500"/>
    <n v="415"/>
    <s v="Seating Cat. 2"/>
    <s v="N.A."/>
    <n v="-2242"/>
  </r>
  <r>
    <s v="Sing"/>
    <x v="6"/>
    <x v="57"/>
    <x v="2"/>
    <n v="271"/>
    <x v="3"/>
    <n v="200"/>
    <n v="104"/>
    <s v="Ticket + Air travel Package"/>
    <s v="N.A."/>
    <n v="-2242"/>
  </r>
  <r>
    <s v="Sing"/>
    <x v="6"/>
    <x v="57"/>
    <x v="2"/>
    <n v="330"/>
    <x v="4"/>
    <n v="300"/>
    <n v="168"/>
    <s v="Ticket + Air travel + Hotel Package"/>
    <s v="N.A."/>
    <n v="-2242"/>
  </r>
  <r>
    <s v="Soul in Berlin"/>
    <x v="9"/>
    <x v="58"/>
    <x v="3"/>
    <n v="41"/>
    <x v="7"/>
    <n v="75000"/>
    <n v="51750"/>
    <s v="General Admission (1 day)"/>
    <s v="N.A."/>
    <n v="-2286"/>
  </r>
  <r>
    <s v="Soul in Berlin"/>
    <x v="9"/>
    <x v="58"/>
    <x v="3"/>
    <n v="78"/>
    <x v="0"/>
    <n v="3500"/>
    <n v="3045"/>
    <s v="Seating Cat. 1"/>
    <s v="N.A."/>
    <n v="-2286"/>
  </r>
  <r>
    <s v="Soul in Berlin"/>
    <x v="9"/>
    <x v="58"/>
    <x v="3"/>
    <n v="59"/>
    <x v="1"/>
    <n v="1500"/>
    <n v="1410"/>
    <s v="Seating Cat. 2"/>
    <s v="N.A."/>
    <n v="-2286"/>
  </r>
  <r>
    <s v="Soul in Berlin"/>
    <x v="9"/>
    <x v="58"/>
    <x v="3"/>
    <n v="78"/>
    <x v="2"/>
    <n v="500"/>
    <n v="255"/>
    <s v="Seating Cat. 3"/>
    <s v="N.A."/>
    <n v="-2286"/>
  </r>
  <r>
    <s v="Soul in Berlin"/>
    <x v="9"/>
    <x v="58"/>
    <x v="3"/>
    <n v="182"/>
    <x v="3"/>
    <n v="300"/>
    <n v="201"/>
    <s v="Ticket + Air travel Package"/>
    <s v="N.A."/>
    <n v="-2286"/>
  </r>
  <r>
    <s v="Soul in Berlin"/>
    <x v="9"/>
    <x v="58"/>
    <x v="3"/>
    <n v="23"/>
    <x v="5"/>
    <n v="110"/>
    <n v="93"/>
    <s v="Seating-disabled"/>
    <s v="N.A."/>
    <n v="-2286"/>
  </r>
  <r>
    <s v="Soul in Berlin"/>
    <x v="9"/>
    <x v="58"/>
    <x v="3"/>
    <n v="377"/>
    <x v="4"/>
    <n v="200"/>
    <n v="118"/>
    <s v="Ticket + Air travel + Hotel Package"/>
    <s v="N.A."/>
    <n v="-2286"/>
  </r>
  <r>
    <s v="Soul in Berlin"/>
    <x v="9"/>
    <x v="59"/>
    <x v="3"/>
    <n v="47"/>
    <x v="7"/>
    <n v="75000"/>
    <n v="66000"/>
    <s v="General Admission (1 day)"/>
    <s v="N.A."/>
    <n v="-2281"/>
  </r>
  <r>
    <s v="Soul in Berlin"/>
    <x v="9"/>
    <x v="59"/>
    <x v="3"/>
    <n v="73"/>
    <x v="0"/>
    <n v="3600"/>
    <n v="2268"/>
    <s v="Seating Cat. 1"/>
    <s v="N.A."/>
    <n v="-2281"/>
  </r>
  <r>
    <s v="Soul in Berlin"/>
    <x v="9"/>
    <x v="59"/>
    <x v="3"/>
    <n v="79"/>
    <x v="1"/>
    <n v="1400"/>
    <n v="1148"/>
    <s v="Seating Cat. 2"/>
    <s v="N.A."/>
    <n v="-2281"/>
  </r>
  <r>
    <s v="Soul in Berlin"/>
    <x v="9"/>
    <x v="59"/>
    <x v="3"/>
    <n v="196"/>
    <x v="3"/>
    <n v="300"/>
    <n v="282"/>
    <s v="Ticket + Air travel Package"/>
    <s v="N.A."/>
    <n v="-2281"/>
  </r>
  <r>
    <s v="Soul in Berlin"/>
    <x v="9"/>
    <x v="59"/>
    <x v="3"/>
    <n v="20"/>
    <x v="5"/>
    <n v="81"/>
    <n v="46"/>
    <s v="Seating-disabled"/>
    <s v="N.A."/>
    <n v="-2281"/>
  </r>
  <r>
    <s v="Soul in Berlin"/>
    <x v="9"/>
    <x v="59"/>
    <x v="3"/>
    <n v="94"/>
    <x v="8"/>
    <n v="50000"/>
    <n v="28000"/>
    <s v="General Admission (2 days)"/>
    <s v="N.A."/>
    <n v="-2281"/>
  </r>
  <r>
    <s v="Soul in Berlin"/>
    <x v="9"/>
    <x v="59"/>
    <x v="3"/>
    <n v="334"/>
    <x v="4"/>
    <n v="200"/>
    <n v="132"/>
    <s v="Ticket + Air travel + Hotel Package"/>
    <s v="N.A."/>
    <n v="-2281"/>
  </r>
  <r>
    <s v="Soul in Berlin"/>
    <x v="9"/>
    <x v="3"/>
    <x v="3"/>
    <n v="47"/>
    <x v="7"/>
    <n v="50000"/>
    <n v="39000"/>
    <s v="General Admission (1 day)"/>
    <s v="N.A."/>
    <n v="-2275"/>
  </r>
  <r>
    <s v="Soul in Berlin"/>
    <x v="9"/>
    <x v="3"/>
    <x v="3"/>
    <n v="51"/>
    <x v="0"/>
    <n v="4500"/>
    <n v="4230"/>
    <s v="Seating Cat. 1"/>
    <s v="N.A."/>
    <n v="-2275"/>
  </r>
  <r>
    <s v="Soul in Berlin"/>
    <x v="9"/>
    <x v="3"/>
    <x v="3"/>
    <n v="117"/>
    <x v="1"/>
    <n v="400"/>
    <n v="352"/>
    <s v="Seating Cat. 2"/>
    <s v="N.A."/>
    <n v="-2275"/>
  </r>
  <r>
    <s v="Soul in Berlin"/>
    <x v="9"/>
    <x v="3"/>
    <x v="3"/>
    <n v="265"/>
    <x v="3"/>
    <n v="300"/>
    <n v="192"/>
    <s v="Ticket + Air travel Package"/>
    <s v="N.A."/>
    <n v="-2275"/>
  </r>
  <r>
    <s v="Soul in Berlin"/>
    <x v="9"/>
    <x v="3"/>
    <x v="3"/>
    <n v="24"/>
    <x v="5"/>
    <n v="107"/>
    <n v="61"/>
    <s v="Seating-disabled"/>
    <s v="N.A."/>
    <n v="-2275"/>
  </r>
  <r>
    <s v="Soul in Berlin"/>
    <x v="9"/>
    <x v="3"/>
    <x v="3"/>
    <n v="340"/>
    <x v="4"/>
    <n v="300"/>
    <n v="189"/>
    <s v="Ticket + Air travel + Hotel Package"/>
    <s v="N.A."/>
    <n v="-2275"/>
  </r>
  <r>
    <s v="Soul in Berlin"/>
    <x v="9"/>
    <x v="60"/>
    <x v="3"/>
    <n v="47"/>
    <x v="7"/>
    <n v="50000"/>
    <n v="44500"/>
    <s v="General Admission (1 day)"/>
    <s v="N.A."/>
    <n v="-2274"/>
  </r>
  <r>
    <s v="Soul in Berlin"/>
    <x v="9"/>
    <x v="60"/>
    <x v="3"/>
    <n v="61"/>
    <x v="0"/>
    <n v="4500"/>
    <n v="3690"/>
    <s v="Seating Cat. 1"/>
    <s v="N.A."/>
    <n v="-2274"/>
  </r>
  <r>
    <s v="Soul in Berlin"/>
    <x v="9"/>
    <x v="60"/>
    <x v="3"/>
    <n v="89"/>
    <x v="1"/>
    <n v="400"/>
    <n v="216"/>
    <s v="Seating Cat. 2"/>
    <s v="N.A."/>
    <n v="-2274"/>
  </r>
  <r>
    <s v="Soul in Berlin"/>
    <x v="9"/>
    <x v="60"/>
    <x v="3"/>
    <n v="247"/>
    <x v="3"/>
    <n v="200"/>
    <n v="156"/>
    <s v="Ticket + Air travel Package"/>
    <s v="N.A."/>
    <n v="-2274"/>
  </r>
  <r>
    <s v="Soul in Berlin"/>
    <x v="9"/>
    <x v="60"/>
    <x v="3"/>
    <n v="29"/>
    <x v="5"/>
    <n v="89"/>
    <n v="65"/>
    <s v="Seating-disabled"/>
    <s v="N.A."/>
    <n v="-2274"/>
  </r>
  <r>
    <s v="Soul in Berlin"/>
    <x v="9"/>
    <x v="60"/>
    <x v="3"/>
    <n v="371"/>
    <x v="4"/>
    <n v="300"/>
    <n v="183"/>
    <s v="Ticket + Air travel + Hotel Package"/>
    <s v="N.A."/>
    <n v="-2274"/>
  </r>
  <r>
    <s v="Soul in Berlin"/>
    <x v="9"/>
    <x v="20"/>
    <x v="3"/>
    <n v="47"/>
    <x v="7"/>
    <n v="50000"/>
    <n v="43000"/>
    <s v="General Admission (1 day)"/>
    <s v="N.A."/>
    <n v="-2267"/>
  </r>
  <r>
    <s v="Soul in Berlin"/>
    <x v="9"/>
    <x v="20"/>
    <x v="3"/>
    <n v="34"/>
    <x v="0"/>
    <n v="4500"/>
    <n v="3105"/>
    <s v="Seating Cat. 1"/>
    <s v="N.A."/>
    <n v="-2267"/>
  </r>
  <r>
    <s v="Soul in Berlin"/>
    <x v="9"/>
    <x v="20"/>
    <x v="3"/>
    <n v="97"/>
    <x v="1"/>
    <n v="400"/>
    <n v="236"/>
    <s v="Seating Cat. 2"/>
    <s v="N.A."/>
    <n v="-2267"/>
  </r>
  <r>
    <s v="Soul in Berlin"/>
    <x v="9"/>
    <x v="20"/>
    <x v="3"/>
    <n v="210"/>
    <x v="3"/>
    <n v="300"/>
    <n v="237"/>
    <s v="Ticket + Air travel Package"/>
    <s v="N.A."/>
    <n v="-2267"/>
  </r>
  <r>
    <s v="Soul in Berlin"/>
    <x v="9"/>
    <x v="20"/>
    <x v="3"/>
    <n v="31"/>
    <x v="5"/>
    <n v="69"/>
    <n v="38"/>
    <s v="Seating-disabled"/>
    <s v="N.A."/>
    <n v="-2267"/>
  </r>
  <r>
    <s v="Soul in Berlin"/>
    <x v="9"/>
    <x v="20"/>
    <x v="3"/>
    <n v="120"/>
    <x v="8"/>
    <n v="50000"/>
    <n v="43500"/>
    <s v="General Admission (2 days)"/>
    <s v="N.A."/>
    <n v="-2267"/>
  </r>
  <r>
    <s v="Soul in Berlin"/>
    <x v="9"/>
    <x v="20"/>
    <x v="3"/>
    <n v="364"/>
    <x v="4"/>
    <n v="200"/>
    <n v="108"/>
    <s v="Ticket + Air travel + Hotel Package"/>
    <s v="N.A."/>
    <n v="-2267"/>
  </r>
  <r>
    <s v="Soul in Berlin"/>
    <x v="9"/>
    <x v="61"/>
    <x v="3"/>
    <n v="47"/>
    <x v="7"/>
    <n v="50000"/>
    <n v="37000"/>
    <s v="General Admission (1 day)"/>
    <s v="N.A."/>
    <n v="-2249"/>
  </r>
  <r>
    <s v="Soul in Berlin"/>
    <x v="9"/>
    <x v="61"/>
    <x v="3"/>
    <n v="47"/>
    <x v="0"/>
    <n v="4500"/>
    <n v="3420"/>
    <s v="Seating Cat. 1"/>
    <s v="N.A."/>
    <n v="-2249"/>
  </r>
  <r>
    <s v="Soul in Berlin"/>
    <x v="9"/>
    <x v="61"/>
    <x v="3"/>
    <n v="85"/>
    <x v="1"/>
    <n v="400"/>
    <n v="244"/>
    <s v="Seating Cat. 2"/>
    <s v="N.A."/>
    <n v="-2249"/>
  </r>
  <r>
    <s v="Soul in Berlin"/>
    <x v="9"/>
    <x v="61"/>
    <x v="3"/>
    <n v="266"/>
    <x v="3"/>
    <n v="300"/>
    <n v="273"/>
    <s v="Ticket + Air travel Package"/>
    <s v="N.A."/>
    <n v="-2249"/>
  </r>
  <r>
    <s v="Soul in Berlin"/>
    <x v="9"/>
    <x v="61"/>
    <x v="3"/>
    <n v="34"/>
    <x v="5"/>
    <n v="90"/>
    <n v="61"/>
    <s v="Seating-disabled"/>
    <s v="N.A."/>
    <n v="-2249"/>
  </r>
  <r>
    <s v="Soul in Berlin"/>
    <x v="9"/>
    <x v="61"/>
    <x v="3"/>
    <n v="339"/>
    <x v="4"/>
    <n v="300"/>
    <n v="273"/>
    <s v="Ticket + Air travel + Hotel Package"/>
    <s v="N.A."/>
    <n v="-2249"/>
  </r>
  <r>
    <s v="Southern Lights Festival"/>
    <x v="1"/>
    <x v="6"/>
    <x v="3"/>
    <n v="50"/>
    <x v="7"/>
    <n v="60000"/>
    <n v="48000"/>
    <s v="General Admission (1 day)"/>
    <n v="0.1"/>
    <n v="-2287"/>
  </r>
  <r>
    <s v="Southern Lights Festival"/>
    <x v="1"/>
    <x v="6"/>
    <x v="3"/>
    <n v="38"/>
    <x v="0"/>
    <n v="2900"/>
    <n v="2610"/>
    <s v="Seating Cat. 1"/>
    <s v="N.A."/>
    <n v="-2287"/>
  </r>
  <r>
    <s v="Southern Lights Festival"/>
    <x v="1"/>
    <x v="6"/>
    <x v="3"/>
    <n v="250"/>
    <x v="3"/>
    <n v="300"/>
    <n v="162"/>
    <s v="Ticket + Air travel Package"/>
    <s v="N.A."/>
    <n v="-2287"/>
  </r>
  <r>
    <s v="Southern Lights Festival"/>
    <x v="1"/>
    <x v="6"/>
    <x v="3"/>
    <n v="313"/>
    <x v="4"/>
    <n v="200"/>
    <n v="110"/>
    <s v="Ticket + Air travel + Hotel Package"/>
    <s v="N.A."/>
    <n v="-2287"/>
  </r>
  <r>
    <s v="Southern Lights Festival"/>
    <x v="1"/>
    <x v="45"/>
    <x v="3"/>
    <n v="50"/>
    <x v="7"/>
    <n v="50000"/>
    <n v="32000"/>
    <s v="General Admission (1 day)"/>
    <n v="0.1"/>
    <n v="-2284"/>
  </r>
  <r>
    <s v="Southern Lights Festival"/>
    <x v="1"/>
    <x v="45"/>
    <x v="3"/>
    <n v="48"/>
    <x v="0"/>
    <n v="2900"/>
    <n v="2001"/>
    <s v="Seating Cat. 1"/>
    <s v="N.A."/>
    <n v="-2284"/>
  </r>
  <r>
    <s v="Southern Lights Festival"/>
    <x v="1"/>
    <x v="45"/>
    <x v="3"/>
    <n v="206"/>
    <x v="3"/>
    <n v="300"/>
    <n v="276"/>
    <s v="Ticket + Air travel Package"/>
    <s v="N.A."/>
    <n v="-2284"/>
  </r>
  <r>
    <s v="Southern Lights Festival"/>
    <x v="1"/>
    <x v="45"/>
    <x v="3"/>
    <n v="397"/>
    <x v="4"/>
    <n v="300"/>
    <n v="231"/>
    <s v="Ticket + Air travel + Hotel Package"/>
    <s v="N.A."/>
    <n v="-2284"/>
  </r>
  <r>
    <s v="Southern Lights Festival"/>
    <x v="6"/>
    <x v="8"/>
    <x v="3"/>
    <n v="50"/>
    <x v="7"/>
    <n v="60000"/>
    <n v="50400"/>
    <s v="General Admission (1 day)"/>
    <n v="0.1"/>
    <n v="-2280"/>
  </r>
  <r>
    <s v="Southern Lights Festival"/>
    <x v="6"/>
    <x v="8"/>
    <x v="3"/>
    <n v="66"/>
    <x v="0"/>
    <n v="3420"/>
    <n v="2634"/>
    <s v="Seating Cat. 1"/>
    <s v="N.A."/>
    <n v="-2280"/>
  </r>
  <r>
    <s v="Southern Lights Festival"/>
    <x v="6"/>
    <x v="8"/>
    <x v="3"/>
    <n v="257"/>
    <x v="3"/>
    <n v="300"/>
    <n v="219"/>
    <s v="Ticket + Air travel Package"/>
    <s v="N.A."/>
    <n v="-2280"/>
  </r>
  <r>
    <s v="Southern Lights Festival"/>
    <x v="6"/>
    <x v="8"/>
    <x v="3"/>
    <n v="316"/>
    <x v="4"/>
    <n v="300"/>
    <n v="189"/>
    <s v="Ticket + Air travel + Hotel Package"/>
    <s v="N.A."/>
    <n v="-2280"/>
  </r>
  <r>
    <s v="Southern Lights Festival"/>
    <x v="4"/>
    <x v="62"/>
    <x v="3"/>
    <n v="50"/>
    <x v="7"/>
    <n v="50000"/>
    <n v="31000"/>
    <s v="General Admission (1 day)"/>
    <n v="0.1"/>
    <n v="-2262"/>
  </r>
  <r>
    <s v="Southern Lights Festival"/>
    <x v="4"/>
    <x v="62"/>
    <x v="3"/>
    <n v="58"/>
    <x v="0"/>
    <n v="3100"/>
    <n v="1581"/>
    <s v="Seating Cat. 1"/>
    <s v="N.A."/>
    <n v="-2262"/>
  </r>
  <r>
    <s v="Southern Lights Festival"/>
    <x v="4"/>
    <x v="62"/>
    <x v="3"/>
    <n v="275"/>
    <x v="3"/>
    <n v="300"/>
    <n v="279"/>
    <s v="Ticket + Air travel Package"/>
    <s v="N.A."/>
    <n v="-2262"/>
  </r>
  <r>
    <s v="Southern Lights Festival"/>
    <x v="4"/>
    <x v="62"/>
    <x v="3"/>
    <n v="366"/>
    <x v="4"/>
    <n v="200"/>
    <n v="156"/>
    <s v="Ticket + Air travel + Hotel Package"/>
    <s v="N.A."/>
    <n v="-2262"/>
  </r>
  <r>
    <s v="Southern Lights Festival"/>
    <x v="9"/>
    <x v="48"/>
    <x v="3"/>
    <n v="50"/>
    <x v="7"/>
    <n v="50000"/>
    <n v="38000"/>
    <s v="General Admission (1 day)"/>
    <n v="0.1"/>
    <n v="-2260"/>
  </r>
  <r>
    <s v="Southern Lights Festival"/>
    <x v="9"/>
    <x v="48"/>
    <x v="3"/>
    <n v="60"/>
    <x v="0"/>
    <n v="2480"/>
    <n v="2158"/>
    <s v="Seating Cat. 1"/>
    <s v="N.A."/>
    <n v="-2260"/>
  </r>
  <r>
    <s v="Southern Lights Festival"/>
    <x v="9"/>
    <x v="48"/>
    <x v="3"/>
    <n v="220"/>
    <x v="3"/>
    <n v="300"/>
    <n v="249"/>
    <s v="Ticket + Air travel Package"/>
    <s v="N.A."/>
    <n v="-2260"/>
  </r>
  <r>
    <s v="Southern Lights Festival"/>
    <x v="9"/>
    <x v="48"/>
    <x v="3"/>
    <n v="376"/>
    <x v="4"/>
    <n v="300"/>
    <n v="192"/>
    <s v="Ticket + Air travel + Hotel Package"/>
    <s v="N.A."/>
    <n v="-2260"/>
  </r>
  <r>
    <s v="Summer Fest"/>
    <x v="6"/>
    <x v="63"/>
    <x v="3"/>
    <n v="52"/>
    <x v="7"/>
    <n v="60000"/>
    <n v="33600"/>
    <s v="General Admission (1 day)"/>
    <s v="N.A."/>
    <n v="-2305"/>
  </r>
  <r>
    <s v="Summer Fest"/>
    <x v="6"/>
    <x v="63"/>
    <x v="3"/>
    <n v="141"/>
    <x v="9"/>
    <n v="50000"/>
    <n v="34500"/>
    <s v="General Admission (season ticket)"/>
    <s v="N.A."/>
    <n v="-2305"/>
  </r>
  <r>
    <s v="Summer Fest"/>
    <x v="6"/>
    <x v="64"/>
    <x v="3"/>
    <n v="52"/>
    <x v="7"/>
    <n v="60000"/>
    <n v="45000"/>
    <s v="General Admission (1 day)"/>
    <s v="N.A."/>
    <n v="-2293"/>
  </r>
  <r>
    <s v="Summer Fest"/>
    <x v="6"/>
    <x v="59"/>
    <x v="3"/>
    <n v="52"/>
    <x v="7"/>
    <n v="50000"/>
    <n v="46500"/>
    <s v="General Admission (1 day)"/>
    <s v="N.A."/>
    <n v="-2281"/>
  </r>
  <r>
    <s v="Summer Fest"/>
    <x v="6"/>
    <x v="24"/>
    <x v="3"/>
    <n v="52"/>
    <x v="7"/>
    <n v="50000"/>
    <n v="37000"/>
    <s v="General Admission (1 day)"/>
    <s v="N.A."/>
    <n v="-2268"/>
  </r>
  <r>
    <s v="Summer Fest"/>
    <x v="6"/>
    <x v="20"/>
    <x v="3"/>
    <n v="52"/>
    <x v="7"/>
    <n v="50000"/>
    <n v="41000"/>
    <s v="General Admission (1 day)"/>
    <s v="N.A."/>
    <n v="-2267"/>
  </r>
  <r>
    <s v="Summer Fest"/>
    <x v="6"/>
    <x v="25"/>
    <x v="3"/>
    <n v="52"/>
    <x v="7"/>
    <n v="60000"/>
    <n v="34800"/>
    <s v="General Admission (1 day)"/>
    <s v="N.A."/>
    <n v="-2266"/>
  </r>
  <r>
    <s v="Summer Fest"/>
    <x v="6"/>
    <x v="15"/>
    <x v="3"/>
    <n v="52"/>
    <x v="7"/>
    <n v="50000"/>
    <n v="37500"/>
    <s v="General Admission (1 day)"/>
    <s v="N.A."/>
    <n v="-2263"/>
  </r>
  <r>
    <s v="Summer Fest"/>
    <x v="6"/>
    <x v="65"/>
    <x v="3"/>
    <n v="52"/>
    <x v="7"/>
    <n v="60000"/>
    <n v="51000"/>
    <s v="General Admission (1 day)"/>
    <s v="N.A."/>
    <n v="-2257"/>
  </r>
  <r>
    <s v="Summer Fest"/>
    <x v="6"/>
    <x v="37"/>
    <x v="3"/>
    <n v="52"/>
    <x v="7"/>
    <n v="50000"/>
    <n v="26500"/>
    <s v="General Admission (1 day)"/>
    <s v="N.A."/>
    <n v="-2243"/>
  </r>
  <r>
    <s v="Tom Jovi"/>
    <x v="2"/>
    <x v="66"/>
    <x v="2"/>
    <n v="52"/>
    <x v="7"/>
    <n v="13865"/>
    <n v="8181"/>
    <s v="General Admission (1 day)"/>
    <s v="N.A."/>
    <n v="-2271"/>
  </r>
  <r>
    <s v="Tom Jovi"/>
    <x v="2"/>
    <x v="66"/>
    <x v="2"/>
    <n v="73"/>
    <x v="0"/>
    <n v="1541"/>
    <n v="1372"/>
    <s v="Seating Cat. 1"/>
    <s v="N.A."/>
    <n v="-2271"/>
  </r>
  <r>
    <s v="Tom Jovi"/>
    <x v="2"/>
    <x v="66"/>
    <x v="2"/>
    <n v="83"/>
    <x v="1"/>
    <n v="350"/>
    <n v="312"/>
    <s v="Seating Cat. 2"/>
    <s v="N.A."/>
    <n v="-2271"/>
  </r>
  <r>
    <s v="Tom Jovi"/>
    <x v="2"/>
    <x v="66"/>
    <x v="2"/>
    <n v="275"/>
    <x v="3"/>
    <n v="300"/>
    <n v="264"/>
    <s v="Ticket + Air travel Package"/>
    <s v="N.A."/>
    <n v="-2271"/>
  </r>
  <r>
    <s v="Tom Jovi"/>
    <x v="2"/>
    <x v="66"/>
    <x v="2"/>
    <n v="388"/>
    <x v="4"/>
    <n v="200"/>
    <n v="138"/>
    <s v="Ticket + Air travel + Hotel Package"/>
    <s v="N.A."/>
    <n v="-2271"/>
  </r>
  <r>
    <s v="Tom Jovi"/>
    <x v="8"/>
    <x v="23"/>
    <x v="2"/>
    <n v="60"/>
    <x v="7"/>
    <n v="8120"/>
    <n v="5197"/>
    <s v="General Admission (1 day)"/>
    <s v="N.A."/>
    <n v="-2269"/>
  </r>
  <r>
    <s v="Tom Jovi"/>
    <x v="8"/>
    <x v="23"/>
    <x v="2"/>
    <n v="70"/>
    <x v="0"/>
    <n v="642"/>
    <n v="431"/>
    <s v="Seating Cat. 1"/>
    <s v="N.A."/>
    <n v="-2269"/>
  </r>
  <r>
    <s v="Tom Jovi"/>
    <x v="8"/>
    <x v="23"/>
    <x v="2"/>
    <n v="102"/>
    <x v="1"/>
    <n v="450"/>
    <n v="306"/>
    <s v="Seating Cat. 2"/>
    <s v="N.A."/>
    <n v="-2269"/>
  </r>
  <r>
    <s v="Tom Jovi"/>
    <x v="8"/>
    <x v="23"/>
    <x v="2"/>
    <n v="270"/>
    <x v="3"/>
    <n v="300"/>
    <n v="207"/>
    <s v="Ticket + Air travel Package"/>
    <s v="N.A."/>
    <n v="-2269"/>
  </r>
  <r>
    <s v="Tom Jovi"/>
    <x v="8"/>
    <x v="23"/>
    <x v="2"/>
    <n v="303"/>
    <x v="4"/>
    <n v="200"/>
    <n v="104"/>
    <s v="Ticket + Air travel + Hotel Package"/>
    <s v="N.A."/>
    <n v="-2269"/>
  </r>
  <r>
    <s v="Tom Jovi"/>
    <x v="5"/>
    <x v="19"/>
    <x v="2"/>
    <n v="55"/>
    <x v="7"/>
    <n v="13668"/>
    <n v="6834"/>
    <s v="General Admission (1 day)"/>
    <s v="N.A."/>
    <n v="-2267"/>
  </r>
  <r>
    <s v="Tom Jovi"/>
    <x v="5"/>
    <x v="19"/>
    <x v="2"/>
    <n v="38"/>
    <x v="0"/>
    <n v="1200"/>
    <n v="720"/>
    <s v="Seating Cat. 1"/>
    <s v="N.A."/>
    <n v="-2267"/>
  </r>
  <r>
    <s v="Tom Jovi"/>
    <x v="5"/>
    <x v="19"/>
    <x v="2"/>
    <n v="72"/>
    <x v="1"/>
    <n v="300"/>
    <n v="246"/>
    <s v="Seating Cat. 2"/>
    <s v="N.A."/>
    <n v="-2267"/>
  </r>
  <r>
    <s v="Tom Jovi"/>
    <x v="5"/>
    <x v="19"/>
    <x v="2"/>
    <n v="300"/>
    <x v="3"/>
    <n v="300"/>
    <n v="285"/>
    <s v="Ticket + Air travel Package"/>
    <s v="N.A."/>
    <n v="-2267"/>
  </r>
  <r>
    <s v="Tom Jovi"/>
    <x v="5"/>
    <x v="19"/>
    <x v="2"/>
    <n v="321"/>
    <x v="4"/>
    <n v="300"/>
    <n v="285"/>
    <s v="Ticket + Air travel + Hotel Package"/>
    <s v="N.A."/>
    <n v="-2267"/>
  </r>
  <r>
    <s v="Tom Jovi"/>
    <x v="9"/>
    <x v="20"/>
    <x v="2"/>
    <n v="45"/>
    <x v="7"/>
    <n v="8819"/>
    <n v="7144"/>
    <s v="General Admission (1 day)"/>
    <s v="N.A."/>
    <n v="-2267"/>
  </r>
  <r>
    <s v="Tom Jovi"/>
    <x v="9"/>
    <x v="20"/>
    <x v="2"/>
    <n v="74"/>
    <x v="0"/>
    <n v="742"/>
    <n v="490"/>
    <s v="Seating Cat. 1"/>
    <s v="N.A."/>
    <n v="-2267"/>
  </r>
  <r>
    <s v="Tom Jovi"/>
    <x v="9"/>
    <x v="20"/>
    <x v="2"/>
    <n v="95"/>
    <x v="1"/>
    <n v="342"/>
    <n v="206"/>
    <s v="Seating Cat. 2"/>
    <s v="N.A."/>
    <n v="-2267"/>
  </r>
  <r>
    <s v="Tom Jovi"/>
    <x v="9"/>
    <x v="20"/>
    <x v="2"/>
    <n v="186"/>
    <x v="3"/>
    <n v="300"/>
    <n v="150"/>
    <s v="Ticket + Air travel Package"/>
    <s v="N.A."/>
    <n v="-2267"/>
  </r>
  <r>
    <s v="Tom Jovi"/>
    <x v="9"/>
    <x v="20"/>
    <x v="2"/>
    <n v="306"/>
    <x v="4"/>
    <n v="300"/>
    <n v="201"/>
    <s v="Ticket + Air travel + Hotel Package"/>
    <s v="N.A."/>
    <n v="-2267"/>
  </r>
  <r>
    <s v="Tom Jovi"/>
    <x v="0"/>
    <x v="5"/>
    <x v="2"/>
    <n v="45"/>
    <x v="7"/>
    <n v="11662"/>
    <n v="10263"/>
    <s v="General Admission (1 day)"/>
    <s v="N.A."/>
    <n v="-2242"/>
  </r>
  <r>
    <s v="Tom Jovi"/>
    <x v="0"/>
    <x v="5"/>
    <x v="2"/>
    <n v="50"/>
    <x v="0"/>
    <n v="682"/>
    <n v="601"/>
    <s v="Seating Cat. 1"/>
    <n v="0.1"/>
    <n v="-2242"/>
  </r>
  <r>
    <s v="Tom Jovi"/>
    <x v="0"/>
    <x v="5"/>
    <x v="2"/>
    <n v="100"/>
    <x v="1"/>
    <n v="196"/>
    <n v="175"/>
    <s v="Seating Cat. 2"/>
    <n v="0.15"/>
    <n v="-2242"/>
  </r>
  <r>
    <s v="Tom Jovi"/>
    <x v="0"/>
    <x v="5"/>
    <x v="2"/>
    <n v="200"/>
    <x v="3"/>
    <n v="400"/>
    <n v="260"/>
    <s v="Ticket + Air travel Package"/>
    <n v="0.25"/>
    <n v="-2242"/>
  </r>
  <r>
    <s v="Tom Jovi"/>
    <x v="0"/>
    <x v="5"/>
    <x v="2"/>
    <n v="336"/>
    <x v="4"/>
    <n v="200"/>
    <n v="186"/>
    <s v="Ticket + Air travel + Hotel Package"/>
    <s v="N.A."/>
    <n v="-2242"/>
  </r>
  <r>
    <s v="Tosca"/>
    <x v="4"/>
    <x v="0"/>
    <x v="0"/>
    <n v="35"/>
    <x v="0"/>
    <n v="990"/>
    <n v="812"/>
    <s v="Seating Cat. 1"/>
    <s v="N.A."/>
    <n v="-2298"/>
  </r>
  <r>
    <s v="Tosca"/>
    <x v="4"/>
    <x v="0"/>
    <x v="0"/>
    <n v="83"/>
    <x v="1"/>
    <n v="548"/>
    <n v="335"/>
    <s v="Seating Cat. 2"/>
    <s v="N.A."/>
    <n v="-2298"/>
  </r>
  <r>
    <s v="Tosca"/>
    <x v="4"/>
    <x v="0"/>
    <x v="0"/>
    <n v="110"/>
    <x v="2"/>
    <n v="320"/>
    <n v="180"/>
    <s v="Seating Cat. 3"/>
    <s v="N.A."/>
    <n v="-2298"/>
  </r>
  <r>
    <s v="Tosca"/>
    <x v="4"/>
    <x v="0"/>
    <x v="0"/>
    <n v="247"/>
    <x v="3"/>
    <n v="300"/>
    <n v="204"/>
    <s v="Ticket + Air travel Package"/>
    <s v="N.A."/>
    <n v="-2298"/>
  </r>
  <r>
    <s v="Tosca"/>
    <x v="4"/>
    <x v="0"/>
    <x v="0"/>
    <n v="24"/>
    <x v="6"/>
    <n v="70"/>
    <n v="55"/>
    <s v="Parking place"/>
    <s v="N.A."/>
    <n v="-2298"/>
  </r>
  <r>
    <s v="Tosca"/>
    <x v="4"/>
    <x v="0"/>
    <x v="0"/>
    <n v="362"/>
    <x v="4"/>
    <n v="200"/>
    <n v="124"/>
    <s v="Ticket + Air travel + Hotel Package"/>
    <s v="N.A."/>
    <n v="-2298"/>
  </r>
  <r>
    <s v="Tosca"/>
    <x v="5"/>
    <x v="48"/>
    <x v="0"/>
    <n v="74"/>
    <x v="0"/>
    <n v="1430"/>
    <n v="959"/>
    <s v="Seating Cat. 1"/>
    <s v="N.A."/>
    <n v="-2260"/>
  </r>
  <r>
    <s v="Tosca"/>
    <x v="5"/>
    <x v="48"/>
    <x v="0"/>
    <n v="93"/>
    <x v="1"/>
    <n v="658"/>
    <n v="474"/>
    <s v="Seating Cat. 2"/>
    <s v="N.A."/>
    <n v="-2260"/>
  </r>
  <r>
    <s v="Tosca"/>
    <x v="5"/>
    <x v="48"/>
    <x v="0"/>
    <n v="152"/>
    <x v="2"/>
    <n v="320"/>
    <n v="292"/>
    <s v="Seating Cat. 3"/>
    <s v="N.A."/>
    <n v="-2260"/>
  </r>
  <r>
    <s v="Tosca"/>
    <x v="5"/>
    <x v="48"/>
    <x v="0"/>
    <n v="235"/>
    <x v="3"/>
    <n v="300"/>
    <n v="255"/>
    <s v="Ticket + Air travel Package"/>
    <s v="N.A."/>
    <n v="-2260"/>
  </r>
  <r>
    <s v="Tosca"/>
    <x v="5"/>
    <x v="48"/>
    <x v="0"/>
    <n v="18"/>
    <x v="6"/>
    <n v="150"/>
    <n v="92"/>
    <s v="Parking place"/>
    <s v="N.A."/>
    <n v="-2260"/>
  </r>
  <r>
    <s v="Tosca"/>
    <x v="5"/>
    <x v="48"/>
    <x v="0"/>
    <n v="345"/>
    <x v="4"/>
    <n v="400"/>
    <n v="212"/>
    <s v="Ticket + Air travel + Hotel Package"/>
    <s v="N.A."/>
    <n v="-2260"/>
  </r>
  <r>
    <s v="Tosca"/>
    <x v="12"/>
    <x v="5"/>
    <x v="0"/>
    <n v="34"/>
    <x v="0"/>
    <n v="1260"/>
    <n v="719"/>
    <s v="Seating Cat. 1"/>
    <s v="N.A."/>
    <n v="-2242"/>
  </r>
  <r>
    <s v="Tosca"/>
    <x v="12"/>
    <x v="5"/>
    <x v="0"/>
    <n v="97"/>
    <x v="1"/>
    <n v="682"/>
    <n v="505"/>
    <s v="Seating Cat. 2"/>
    <s v="N.A."/>
    <n v="-2242"/>
  </r>
  <r>
    <s v="Tosca"/>
    <x v="12"/>
    <x v="5"/>
    <x v="0"/>
    <n v="130"/>
    <x v="2"/>
    <n v="422"/>
    <n v="292"/>
    <s v="Seating Cat. 3"/>
    <s v="N.A."/>
    <n v="-2242"/>
  </r>
  <r>
    <s v="Tosca"/>
    <x v="12"/>
    <x v="5"/>
    <x v="0"/>
    <n v="294"/>
    <x v="3"/>
    <n v="300"/>
    <n v="153"/>
    <s v="Ticket + Air travel Package"/>
    <s v="N.A."/>
    <n v="-2242"/>
  </r>
  <r>
    <s v="Tosca"/>
    <x v="12"/>
    <x v="5"/>
    <x v="0"/>
    <n v="26"/>
    <x v="6"/>
    <n v="150"/>
    <n v="107"/>
    <s v="Parking place"/>
    <s v="N.A."/>
    <n v="-2242"/>
  </r>
  <r>
    <s v="Tosca"/>
    <x v="12"/>
    <x v="5"/>
    <x v="0"/>
    <n v="354"/>
    <x v="4"/>
    <n v="400"/>
    <n v="272"/>
    <s v="Ticket + Air travel + Hotel Package"/>
    <s v="N.A."/>
    <n v="-2242"/>
  </r>
  <r>
    <s v="Turandot"/>
    <x v="11"/>
    <x v="67"/>
    <x v="0"/>
    <n v="35"/>
    <x v="0"/>
    <n v="940"/>
    <n v="527"/>
    <s v="Seating Cat. 1"/>
    <s v="N.A."/>
    <n v="-2279"/>
  </r>
  <r>
    <s v="Turandot"/>
    <x v="11"/>
    <x v="67"/>
    <x v="0"/>
    <n v="97"/>
    <x v="1"/>
    <n v="360"/>
    <n v="270"/>
    <s v="Seating Cat. 2"/>
    <s v="N.A."/>
    <n v="-2279"/>
  </r>
  <r>
    <s v="Turandot"/>
    <x v="11"/>
    <x v="67"/>
    <x v="0"/>
    <n v="152"/>
    <x v="2"/>
    <n v="250"/>
    <n v="175"/>
    <s v="Seating Cat. 3"/>
    <s v="N.A."/>
    <n v="-2279"/>
  </r>
  <r>
    <s v="Turandot"/>
    <x v="11"/>
    <x v="67"/>
    <x v="0"/>
    <n v="272"/>
    <x v="3"/>
    <n v="300"/>
    <n v="195"/>
    <s v="Ticket + Air travel Package"/>
    <s v="N.A."/>
    <n v="-2279"/>
  </r>
  <r>
    <s v="Turandot"/>
    <x v="11"/>
    <x v="67"/>
    <x v="0"/>
    <n v="17"/>
    <x v="6"/>
    <n v="100"/>
    <n v="90"/>
    <s v="Parking place"/>
    <s v="N.A."/>
    <n v="-2279"/>
  </r>
  <r>
    <s v="Turandot"/>
    <x v="11"/>
    <x v="67"/>
    <x v="0"/>
    <n v="342"/>
    <x v="4"/>
    <n v="300"/>
    <n v="285"/>
    <s v="Ticket + Air travel + Hotel Package"/>
    <s v="N.A."/>
    <n v="-2279"/>
  </r>
  <r>
    <s v="Turandot"/>
    <x v="0"/>
    <x v="61"/>
    <x v="0"/>
    <n v="61"/>
    <x v="0"/>
    <n v="3000"/>
    <n v="1950"/>
    <s v="Seating Cat. 1"/>
    <s v="N.A."/>
    <n v="-2249"/>
  </r>
  <r>
    <s v="Turandot"/>
    <x v="0"/>
    <x v="61"/>
    <x v="0"/>
    <n v="106"/>
    <x v="1"/>
    <n v="1000"/>
    <n v="500"/>
    <s v="Seating Cat. 2"/>
    <s v="N.A."/>
    <n v="-2249"/>
  </r>
  <r>
    <s v="Turandot"/>
    <x v="0"/>
    <x v="61"/>
    <x v="0"/>
    <n v="161"/>
    <x v="2"/>
    <n v="500"/>
    <n v="270"/>
    <s v="Seating Cat. 3"/>
    <s v="N.A."/>
    <n v="-2249"/>
  </r>
  <r>
    <s v="Turandot"/>
    <x v="0"/>
    <x v="61"/>
    <x v="0"/>
    <n v="238"/>
    <x v="3"/>
    <n v="400"/>
    <n v="332"/>
    <s v="Ticket + Air travel Package"/>
    <s v="N.A."/>
    <n v="-2249"/>
  </r>
  <r>
    <s v="Turandot"/>
    <x v="0"/>
    <x v="61"/>
    <x v="0"/>
    <n v="10"/>
    <x v="6"/>
    <n v="45"/>
    <n v="38"/>
    <s v="Parking place"/>
    <s v="N.A."/>
    <n v="-2249"/>
  </r>
  <r>
    <s v="Turandot"/>
    <x v="0"/>
    <x v="61"/>
    <x v="0"/>
    <n v="391"/>
    <x v="4"/>
    <n v="300"/>
    <n v="201"/>
    <s v="Ticket + Air travel + Hotel Package"/>
    <s v="N.A."/>
    <n v="-2249"/>
  </r>
  <r>
    <s v="Turandot"/>
    <x v="6"/>
    <x v="12"/>
    <x v="0"/>
    <n v="48"/>
    <x v="0"/>
    <n v="2000"/>
    <n v="1720"/>
    <s v="Seating Cat. 1"/>
    <s v="N.A."/>
    <n v="-2247"/>
  </r>
  <r>
    <s v="Turandot"/>
    <x v="6"/>
    <x v="12"/>
    <x v="0"/>
    <n v="72"/>
    <x v="1"/>
    <n v="400"/>
    <n v="272"/>
    <s v="Seating Cat. 2"/>
    <s v="N.A."/>
    <n v="-2247"/>
  </r>
  <r>
    <s v="Turandot"/>
    <x v="6"/>
    <x v="12"/>
    <x v="0"/>
    <n v="193"/>
    <x v="2"/>
    <n v="250"/>
    <n v="213"/>
    <s v="Seating Cat. 3"/>
    <s v="N.A."/>
    <n v="-2247"/>
  </r>
  <r>
    <s v="Turandot"/>
    <x v="6"/>
    <x v="12"/>
    <x v="0"/>
    <n v="269"/>
    <x v="3"/>
    <n v="400"/>
    <n v="328"/>
    <s v="Ticket + Air travel Package"/>
    <s v="N.A."/>
    <n v="-2247"/>
  </r>
  <r>
    <s v="Turandot"/>
    <x v="6"/>
    <x v="12"/>
    <x v="0"/>
    <n v="32"/>
    <x v="6"/>
    <n v="50"/>
    <n v="32"/>
    <s v="Parking place"/>
    <s v="N.A."/>
    <n v="-2247"/>
  </r>
  <r>
    <s v="Turandot"/>
    <x v="6"/>
    <x v="12"/>
    <x v="0"/>
    <n v="350"/>
    <x v="4"/>
    <n v="200"/>
    <n v="182"/>
    <s v="Ticket + Air travel + Hotel Package"/>
    <s v="N.A."/>
    <n v="-2247"/>
  </r>
  <r>
    <s v="We will roll you"/>
    <x v="1"/>
    <x v="68"/>
    <x v="1"/>
    <n v="76"/>
    <x v="0"/>
    <n v="790"/>
    <n v="443"/>
    <s v="Seating Cat. 1"/>
    <s v="N.A."/>
    <n v="-2302"/>
  </r>
  <r>
    <s v="We will roll you"/>
    <x v="1"/>
    <x v="68"/>
    <x v="1"/>
    <n v="74"/>
    <x v="1"/>
    <n v="450"/>
    <n v="284"/>
    <s v="Seating Cat. 2"/>
    <s v="N.A."/>
    <n v="-2302"/>
  </r>
  <r>
    <s v="We will roll you"/>
    <x v="1"/>
    <x v="68"/>
    <x v="1"/>
    <n v="118"/>
    <x v="2"/>
    <n v="280"/>
    <n v="210"/>
    <s v="Seating Cat. 3"/>
    <s v="N.A."/>
    <n v="-2302"/>
  </r>
  <r>
    <s v="We will roll you"/>
    <x v="1"/>
    <x v="68"/>
    <x v="1"/>
    <n v="277"/>
    <x v="3"/>
    <n v="300"/>
    <n v="258"/>
    <s v="Ticket + Air travel Package"/>
    <s v="N.A."/>
    <n v="-2302"/>
  </r>
  <r>
    <s v="We will roll you"/>
    <x v="1"/>
    <x v="68"/>
    <x v="1"/>
    <n v="331"/>
    <x v="4"/>
    <n v="300"/>
    <n v="192"/>
    <s v="Ticket + Air travel + Hotel Package"/>
    <s v="N.A."/>
    <n v="-2302"/>
  </r>
  <r>
    <s v="We will roll you"/>
    <x v="7"/>
    <x v="42"/>
    <x v="1"/>
    <n v="61"/>
    <x v="0"/>
    <n v="780"/>
    <n v="484"/>
    <s v="Seating Cat. 1"/>
    <s v="N.A."/>
    <n v="-2300"/>
  </r>
  <r>
    <s v="We will roll you"/>
    <x v="7"/>
    <x v="42"/>
    <x v="1"/>
    <n v="104"/>
    <x v="1"/>
    <n v="652"/>
    <n v="535"/>
    <s v="Seating Cat. 2"/>
    <s v="N.A."/>
    <n v="-2300"/>
  </r>
  <r>
    <s v="We will roll you"/>
    <x v="7"/>
    <x v="42"/>
    <x v="1"/>
    <n v="185"/>
    <x v="2"/>
    <n v="345"/>
    <n v="287"/>
    <s v="Seating Cat. 3"/>
    <s v="N.A."/>
    <n v="-2300"/>
  </r>
  <r>
    <s v="We will roll you"/>
    <x v="7"/>
    <x v="42"/>
    <x v="1"/>
    <n v="231"/>
    <x v="3"/>
    <n v="400"/>
    <n v="236"/>
    <s v="Ticket + Air travel Package"/>
    <s v="N.A."/>
    <n v="-2300"/>
  </r>
  <r>
    <s v="We will roll you"/>
    <x v="7"/>
    <x v="42"/>
    <x v="1"/>
    <n v="353"/>
    <x v="4"/>
    <n v="300"/>
    <n v="249"/>
    <s v="Ticket + Air travel + Hotel Package"/>
    <s v="N.A."/>
    <n v="-2300"/>
  </r>
  <r>
    <s v="We will roll you"/>
    <x v="1"/>
    <x v="44"/>
    <x v="1"/>
    <n v="37"/>
    <x v="0"/>
    <n v="990"/>
    <n v="565"/>
    <s v="Seating Cat. 1"/>
    <s v="N.A."/>
    <n v="-2290"/>
  </r>
  <r>
    <s v="We will roll you"/>
    <x v="1"/>
    <x v="44"/>
    <x v="1"/>
    <n v="90"/>
    <x v="1"/>
    <n v="500"/>
    <n v="280"/>
    <s v="Seating Cat. 2"/>
    <s v="N.A."/>
    <n v="-2290"/>
  </r>
  <r>
    <s v="We will roll you"/>
    <x v="1"/>
    <x v="44"/>
    <x v="1"/>
    <n v="184"/>
    <x v="2"/>
    <n v="200"/>
    <n v="102"/>
    <s v="Seating Cat. 3"/>
    <s v="N.A."/>
    <n v="-2290"/>
  </r>
  <r>
    <s v="We will roll you"/>
    <x v="1"/>
    <x v="44"/>
    <x v="1"/>
    <n v="283"/>
    <x v="3"/>
    <n v="200"/>
    <n v="180"/>
    <s v="Ticket + Air travel Package"/>
    <s v="N.A."/>
    <n v="-2290"/>
  </r>
  <r>
    <s v="We will roll you"/>
    <x v="1"/>
    <x v="44"/>
    <x v="1"/>
    <n v="386"/>
    <x v="4"/>
    <n v="400"/>
    <n v="288"/>
    <s v="Ticket + Air travel + Hotel Package"/>
    <s v="N.A."/>
    <n v="-2290"/>
  </r>
  <r>
    <s v="We will roll you"/>
    <x v="7"/>
    <x v="6"/>
    <x v="1"/>
    <n v="51"/>
    <x v="0"/>
    <n v="780"/>
    <n v="531"/>
    <s v="Seating Cat. 1"/>
    <s v="N.A."/>
    <n v="-2287"/>
  </r>
  <r>
    <s v="We will roll you"/>
    <x v="7"/>
    <x v="6"/>
    <x v="1"/>
    <n v="72"/>
    <x v="1"/>
    <n v="652"/>
    <n v="503"/>
    <s v="Seating Cat. 2"/>
    <s v="N.A."/>
    <n v="-2287"/>
  </r>
  <r>
    <s v="We will roll you"/>
    <x v="7"/>
    <x v="6"/>
    <x v="1"/>
    <n v="139"/>
    <x v="2"/>
    <n v="345"/>
    <n v="252"/>
    <s v="Seating Cat. 3"/>
    <s v="N.A."/>
    <n v="-2287"/>
  </r>
  <r>
    <s v="We will roll you"/>
    <x v="7"/>
    <x v="6"/>
    <x v="1"/>
    <n v="252"/>
    <x v="3"/>
    <n v="300"/>
    <n v="216"/>
    <s v="Ticket + Air travel Package"/>
    <s v="N.A."/>
    <n v="-2287"/>
  </r>
  <r>
    <s v="We will roll you"/>
    <x v="7"/>
    <x v="6"/>
    <x v="1"/>
    <n v="332"/>
    <x v="4"/>
    <n v="300"/>
    <n v="273"/>
    <s v="Ticket + Air travel + Hotel Package"/>
    <s v="N.A."/>
    <n v="-2287"/>
  </r>
  <r>
    <s v="We will roll you"/>
    <x v="7"/>
    <x v="58"/>
    <x v="1"/>
    <n v="79"/>
    <x v="0"/>
    <n v="780"/>
    <n v="609"/>
    <s v="Seating Cat. 1"/>
    <s v="N.A."/>
    <n v="-2286"/>
  </r>
  <r>
    <s v="We will roll you"/>
    <x v="7"/>
    <x v="58"/>
    <x v="1"/>
    <n v="96"/>
    <x v="1"/>
    <n v="652"/>
    <n v="326"/>
    <s v="Seating Cat. 2"/>
    <s v="N.A."/>
    <n v="-2286"/>
  </r>
  <r>
    <s v="We will roll you"/>
    <x v="7"/>
    <x v="58"/>
    <x v="1"/>
    <n v="173"/>
    <x v="2"/>
    <n v="345"/>
    <n v="263"/>
    <s v="Seating Cat. 3"/>
    <s v="N.A."/>
    <n v="-2286"/>
  </r>
  <r>
    <s v="We will roll you"/>
    <x v="7"/>
    <x v="58"/>
    <x v="1"/>
    <n v="206"/>
    <x v="3"/>
    <n v="300"/>
    <n v="210"/>
    <s v="Ticket + Air travel Package"/>
    <s v="N.A."/>
    <n v="-2286"/>
  </r>
  <r>
    <s v="We will roll you"/>
    <x v="7"/>
    <x v="58"/>
    <x v="1"/>
    <n v="372"/>
    <x v="4"/>
    <n v="200"/>
    <n v="176"/>
    <s v="Ticket + Air travel + Hotel Package"/>
    <s v="N.A."/>
    <n v="-2286"/>
  </r>
  <r>
    <s v="We will roll you"/>
    <x v="5"/>
    <x v="7"/>
    <x v="1"/>
    <n v="54"/>
    <x v="0"/>
    <n v="840"/>
    <n v="731"/>
    <s v="Seating Cat. 1"/>
    <s v="N.A."/>
    <n v="-2282"/>
  </r>
  <r>
    <s v="We will roll you"/>
    <x v="5"/>
    <x v="7"/>
    <x v="1"/>
    <n v="114"/>
    <x v="1"/>
    <n v="490"/>
    <n v="437"/>
    <s v="Seating Cat. 2"/>
    <s v="N.A."/>
    <n v="-2282"/>
  </r>
  <r>
    <s v="We will roll you"/>
    <x v="5"/>
    <x v="7"/>
    <x v="1"/>
    <n v="175"/>
    <x v="2"/>
    <n v="390"/>
    <n v="195"/>
    <s v="Seating Cat. 3"/>
    <s v="N.A."/>
    <n v="-2282"/>
  </r>
  <r>
    <s v="We will roll you"/>
    <x v="5"/>
    <x v="7"/>
    <x v="1"/>
    <n v="259"/>
    <x v="3"/>
    <n v="300"/>
    <n v="162"/>
    <s v="Ticket + Air travel Package"/>
    <s v="N.A."/>
    <n v="-2282"/>
  </r>
  <r>
    <s v="We will roll you"/>
    <x v="5"/>
    <x v="7"/>
    <x v="1"/>
    <n v="351"/>
    <x v="4"/>
    <n v="300"/>
    <n v="192"/>
    <s v="Ticket + Air travel + Hotel Package"/>
    <s v="N.A."/>
    <n v="-2282"/>
  </r>
  <r>
    <s v="We will roll you"/>
    <x v="5"/>
    <x v="69"/>
    <x v="1"/>
    <n v="68"/>
    <x v="0"/>
    <n v="840"/>
    <n v="672"/>
    <s v="Seating Cat. 1"/>
    <s v="N.A."/>
    <n v="-2278"/>
  </r>
  <r>
    <s v="We will roll you"/>
    <x v="5"/>
    <x v="69"/>
    <x v="1"/>
    <n v="88"/>
    <x v="1"/>
    <n v="490"/>
    <n v="407"/>
    <s v="Seating Cat. 2"/>
    <s v="N.A."/>
    <n v="-2278"/>
  </r>
  <r>
    <s v="We will roll you"/>
    <x v="5"/>
    <x v="69"/>
    <x v="1"/>
    <n v="175"/>
    <x v="2"/>
    <n v="390"/>
    <n v="328"/>
    <s v="Seating Cat. 3"/>
    <s v="N.A."/>
    <n v="-2278"/>
  </r>
  <r>
    <s v="We will roll you"/>
    <x v="5"/>
    <x v="69"/>
    <x v="1"/>
    <n v="212"/>
    <x v="3"/>
    <n v="200"/>
    <n v="178"/>
    <s v="Ticket + Air travel Package"/>
    <s v="N.A."/>
    <n v="-2278"/>
  </r>
  <r>
    <s v="We will roll you"/>
    <x v="5"/>
    <x v="69"/>
    <x v="1"/>
    <n v="400"/>
    <x v="4"/>
    <n v="400"/>
    <n v="356"/>
    <s v="Ticket + Air travel + Hotel Package"/>
    <n v="0.4"/>
    <n v="-2278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59DF17B-258A-4726-A9B7-2DEC1E194CC9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L33" firstHeaderRow="1" firstDataRow="2" firstDataCol="1" rowPageCount="1" colPageCount="1"/>
  <pivotFields count="13">
    <pivotField showAll="0"/>
    <pivotField axis="axisPage" showAll="0">
      <items count="14">
        <item x="12"/>
        <item x="6"/>
        <item x="9"/>
        <item x="11"/>
        <item x="8"/>
        <item x="7"/>
        <item x="3"/>
        <item x="1"/>
        <item x="4"/>
        <item x="5"/>
        <item x="2"/>
        <item x="0"/>
        <item x="10"/>
        <item t="default"/>
      </items>
    </pivotField>
    <pivotField axis="axisRow" numFmtId="14" showAll="0">
      <items count="71">
        <item x="63"/>
        <item x="17"/>
        <item x="41"/>
        <item x="68"/>
        <item x="38"/>
        <item x="30"/>
        <item x="42"/>
        <item x="0"/>
        <item x="53"/>
        <item x="28"/>
        <item x="43"/>
        <item x="64"/>
        <item x="1"/>
        <item x="54"/>
        <item x="50"/>
        <item x="44"/>
        <item x="56"/>
        <item x="2"/>
        <item x="33"/>
        <item x="6"/>
        <item x="49"/>
        <item x="58"/>
        <item x="45"/>
        <item x="18"/>
        <item x="7"/>
        <item x="46"/>
        <item x="59"/>
        <item x="8"/>
        <item x="67"/>
        <item x="69"/>
        <item x="21"/>
        <item x="22"/>
        <item x="3"/>
        <item x="60"/>
        <item x="39"/>
        <item x="52"/>
        <item x="31"/>
        <item x="29"/>
        <item x="66"/>
        <item x="36"/>
        <item x="23"/>
        <item x="24"/>
        <item x="19"/>
        <item x="4"/>
        <item x="20"/>
        <item x="25"/>
        <item x="55"/>
        <item x="47"/>
        <item x="15"/>
        <item x="62"/>
        <item x="16"/>
        <item x="48"/>
        <item x="9"/>
        <item x="34"/>
        <item x="14"/>
        <item x="65"/>
        <item x="26"/>
        <item x="10"/>
        <item x="51"/>
        <item x="35"/>
        <item x="27"/>
        <item x="11"/>
        <item x="61"/>
        <item x="40"/>
        <item x="12"/>
        <item x="13"/>
        <item x="32"/>
        <item x="37"/>
        <item x="57"/>
        <item x="5"/>
        <item t="default"/>
      </items>
    </pivotField>
    <pivotField axis="axisRow" showAll="0">
      <items count="8">
        <item x="5"/>
        <item x="4"/>
        <item x="2"/>
        <item x="3"/>
        <item x="1"/>
        <item x="0"/>
        <item x="6"/>
        <item t="default"/>
      </items>
    </pivotField>
    <pivotField showAll="0"/>
    <pivotField axis="axisCol" showAll="0">
      <items count="11">
        <item x="7"/>
        <item x="8"/>
        <item x="9"/>
        <item x="6"/>
        <item x="0"/>
        <item x="1"/>
        <item x="2"/>
        <item x="5"/>
        <item x="3"/>
        <item x="4"/>
        <item t="default"/>
      </items>
    </pivotField>
    <pivotField showAll="0"/>
    <pivotField dataField="1" showAll="0"/>
    <pivotField showAll="0"/>
    <pivotField showAll="0"/>
    <pivotField showAll="0"/>
    <pivotField axis="axisRow" showAll="0">
      <items count="36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  <item t="default"/>
      </items>
    </pivotField>
    <pivotField axis="axisRow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</pivotFields>
  <rowFields count="4">
    <field x="3"/>
    <field x="12"/>
    <field x="2"/>
    <field x="11"/>
  </rowFields>
  <rowItems count="29">
    <i>
      <x/>
    </i>
    <i r="1">
      <x v="6"/>
    </i>
    <i r="1">
      <x v="7"/>
    </i>
    <i r="1">
      <x v="8"/>
    </i>
    <i>
      <x v="1"/>
    </i>
    <i r="1">
      <x v="6"/>
    </i>
    <i r="1">
      <x v="7"/>
    </i>
    <i r="1">
      <x v="8"/>
    </i>
    <i>
      <x v="2"/>
    </i>
    <i r="1">
      <x v="6"/>
    </i>
    <i r="1">
      <x v="7"/>
    </i>
    <i r="1">
      <x v="8"/>
    </i>
    <i>
      <x v="3"/>
    </i>
    <i r="1">
      <x v="6"/>
    </i>
    <i r="1">
      <x v="7"/>
    </i>
    <i r="1">
      <x v="8"/>
    </i>
    <i>
      <x v="4"/>
    </i>
    <i r="1">
      <x v="6"/>
    </i>
    <i r="1">
      <x v="7"/>
    </i>
    <i r="1">
      <x v="8"/>
    </i>
    <i>
      <x v="5"/>
    </i>
    <i r="1">
      <x v="6"/>
    </i>
    <i r="1">
      <x v="7"/>
    </i>
    <i r="1">
      <x v="8"/>
    </i>
    <i>
      <x v="6"/>
    </i>
    <i r="1">
      <x v="6"/>
    </i>
    <i r="1">
      <x v="7"/>
    </i>
    <i r="1">
      <x v="8"/>
    </i>
    <i t="grand">
      <x/>
    </i>
  </rowItems>
  <colFields count="1">
    <field x="5"/>
  </colFields>
  <col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colItems>
  <pageFields count="1">
    <pageField fld="1" hier="-1"/>
  </pageFields>
  <dataFields count="1">
    <dataField name="Sum of Tickets Sold" fld="7" baseField="0" baseItem="0"/>
  </dataFields>
  <formats count="3">
    <format dxfId="11">
      <pivotArea type="all" dataOnly="0" outline="0" fieldPosition="0"/>
    </format>
    <format dxfId="4">
      <pivotArea grandRow="1" outline="0" collapsedLevelsAreSubtotals="1" fieldPosition="0"/>
    </format>
    <format dxfId="3">
      <pivotArea dataOnly="0" labelOnly="1" grandRow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76A8B45-2CD2-4467-80FF-0FDF7D48FAA6}" name="Table1" displayName="Table1" ref="A1:O493" totalsRowShown="0" headerRowDxfId="19">
  <autoFilter ref="A1:O493" xr:uid="{E76A8B45-2CD2-4467-80FF-0FDF7D48FAA6}"/>
  <tableColumns count="15">
    <tableColumn id="1" xr3:uid="{21B923B1-8616-47FC-BBC3-FFCAC10FFD96}" name="Event"/>
    <tableColumn id="2" xr3:uid="{7DC37E17-B4AB-48A7-9933-FCC0CBD78A74}" name="City"/>
    <tableColumn id="3" xr3:uid="{5DA75AC0-9E86-4DEE-AB23-64A9394A04BB}" name="Event Date" dataDxfId="18"/>
    <tableColumn id="4" xr3:uid="{8E927791-C37D-49E1-A71C-30E18D94B78D}" name="Genre"/>
    <tableColumn id="5" xr3:uid="{06329C31-2C82-4969-9799-DDF1A8A003A2}" name="Ticket Price (euro)" dataDxfId="17"/>
    <tableColumn id="15" xr3:uid="{309580F4-FB4D-4191-A14C-DD334BDFF70F}" name="Margin %" dataDxfId="16">
      <calculatedColumnFormula>IFERROR(VLOOKUP(E2,Margins!$A:$B,2,TRUE),"")</calculatedColumnFormula>
    </tableColumn>
    <tableColumn id="14" xr3:uid="{E5BE96E1-7418-4F9C-B3EE-816A1B7FF0F4}" name="Margin Eros" dataDxfId="15">
      <calculatedColumnFormula>IFERROR(E2*F2*I2,"")</calculatedColumnFormula>
    </tableColumn>
    <tableColumn id="6" xr3:uid="{3AD0079C-D57E-47B0-BFB3-E3363CCD2A50}" name="Ticket Category"/>
    <tableColumn id="7" xr3:uid="{DCB73877-C6AD-48A7-A5DD-E30AFBDE651F}" name="Tickets Available"/>
    <tableColumn id="13" xr3:uid="{9CF709DB-A355-4A6A-B345-55BC4EA2B1B5}" name="Rating" dataDxfId="14">
      <calculatedColumnFormula>IF(Table1[[#This Row],[Tickets Sold]]&gt;500,8,5)</calculatedColumnFormula>
    </tableColumn>
    <tableColumn id="8" xr3:uid="{C6544331-5CB7-4CDF-B5A4-E97A59870997}" name="Tickets Sold"/>
    <tableColumn id="9" xr3:uid="{2951A8F1-F92A-4BB5-BA6A-D65107D3E88C}" name="Description">
      <calculatedColumnFormula>VLOOKUP(H2,Descriptions!A:B, 2, FALSE)</calculatedColumnFormula>
    </tableColumn>
    <tableColumn id="11" xr3:uid="{E2EB35F5-60FF-4C83-9E0D-B0BFA18463BC}" name="Days" dataDxfId="13">
      <calculatedColumnFormula>NETWORKDAYS(TODAY(), C2-1)</calculatedColumnFormula>
    </tableColumn>
    <tableColumn id="12" xr3:uid="{17E93780-45BA-4DD0-B49C-B7788244BAF1}" name="Margin Euros"/>
    <tableColumn id="10" xr3:uid="{4FA024EF-C3D5-434C-AE7D-48600729A9D1}" name="Tickekt Code" dataDxfId="12">
      <calculatedColumnFormula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calculatedColumnFormula>
    </tableColumn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68B8DDE9-FF54-454F-AF2A-3D2467FFA8DA}" name="Table3" displayName="Table3" ref="A1:C9" totalsRowShown="0" headerRowBorderDxfId="10" tableBorderDxfId="9" totalsRowBorderDxfId="8">
  <autoFilter ref="A1:C9" xr:uid="{68B8DDE9-FF54-454F-AF2A-3D2467FFA8DA}"/>
  <tableColumns count="3">
    <tableColumn id="1" xr3:uid="{D052A0AC-1E70-4B7D-B2C4-CA6BEB2790E7}" name="Genre" dataDxfId="7"/>
    <tableColumn id="2" xr3:uid="{B600E6D3-F839-41A6-A081-8F11414AC52D}" name="Avg % of Sales " dataDxfId="6"/>
    <tableColumn id="3" xr3:uid="{98F5804F-BFBA-4A9D-A0B5-AF1116FB5E44}" name="Total Margin € " dataDxfId="5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493"/>
  <sheetViews>
    <sheetView topLeftCell="H1" workbookViewId="0">
      <selection activeCell="O1" sqref="O1:O1048576"/>
    </sheetView>
  </sheetViews>
  <sheetFormatPr defaultRowHeight="14.5" x14ac:dyDescent="0.35"/>
  <cols>
    <col min="1" max="1" width="26" bestFit="1" customWidth="1"/>
    <col min="2" max="2" width="11.26953125" bestFit="1" customWidth="1"/>
    <col min="3" max="3" width="14.54296875" bestFit="1" customWidth="1"/>
    <col min="4" max="4" width="10.453125" bestFit="1" customWidth="1"/>
    <col min="5" max="5" width="20.6328125" bestFit="1" customWidth="1"/>
    <col min="6" max="7" width="20.6328125" customWidth="1"/>
    <col min="8" max="8" width="15.7265625" customWidth="1"/>
    <col min="9" max="9" width="19.26953125" bestFit="1" customWidth="1"/>
    <col min="10" max="10" width="19.26953125" customWidth="1"/>
    <col min="11" max="11" width="15.1796875" bestFit="1" customWidth="1"/>
    <col min="12" max="12" width="29.36328125" bestFit="1" customWidth="1"/>
    <col min="13" max="13" width="12.81640625" bestFit="1" customWidth="1"/>
    <col min="14" max="14" width="17.6328125" customWidth="1"/>
    <col min="15" max="15" width="19.1796875" bestFit="1" customWidth="1"/>
  </cols>
  <sheetData>
    <row r="1" spans="1:15" s="3" customFormat="1" ht="15" thickBot="1" x14ac:dyDescent="0.4">
      <c r="A1" s="5" t="s">
        <v>39</v>
      </c>
      <c r="B1" s="5" t="s">
        <v>40</v>
      </c>
      <c r="C1" s="5" t="s">
        <v>41</v>
      </c>
      <c r="D1" s="5" t="s">
        <v>42</v>
      </c>
      <c r="E1" s="5" t="s">
        <v>43</v>
      </c>
      <c r="F1" s="5" t="s">
        <v>83</v>
      </c>
      <c r="G1" s="5" t="s">
        <v>96</v>
      </c>
      <c r="H1" s="5" t="s">
        <v>44</v>
      </c>
      <c r="I1" s="5" t="s">
        <v>45</v>
      </c>
      <c r="J1" s="5" t="s">
        <v>95</v>
      </c>
      <c r="K1" s="5" t="s">
        <v>46</v>
      </c>
      <c r="L1" s="8" t="s">
        <v>58</v>
      </c>
      <c r="M1" s="9" t="s">
        <v>84</v>
      </c>
      <c r="N1" s="9" t="s">
        <v>93</v>
      </c>
      <c r="O1" s="9" t="s">
        <v>94</v>
      </c>
    </row>
    <row r="2" spans="1:15" x14ac:dyDescent="0.35">
      <c r="A2" t="s">
        <v>19</v>
      </c>
      <c r="B2" t="s">
        <v>2</v>
      </c>
      <c r="C2" s="1">
        <v>42896</v>
      </c>
      <c r="D2" t="s">
        <v>20</v>
      </c>
      <c r="E2" s="7">
        <v>70</v>
      </c>
      <c r="F2" s="7">
        <f>IFERROR(VLOOKUP(E2,Margins!$A:$B,2,TRUE),"")</f>
        <v>0.1</v>
      </c>
      <c r="G2" s="7">
        <f t="shared" ref="G2:G65" si="0">IFERROR(E2*F2*I2,"")</f>
        <v>21000</v>
      </c>
      <c r="H2" t="s">
        <v>62</v>
      </c>
      <c r="I2">
        <v>3000</v>
      </c>
      <c r="J2">
        <f>IF(Table1[[#This Row],[Tickets Sold]]&gt;500,8,5)</f>
        <v>8</v>
      </c>
      <c r="K2">
        <v>1680</v>
      </c>
      <c r="L2" t="str">
        <f>VLOOKUP(H2,Descriptions!A:B, 2, FALSE)</f>
        <v>Seating Cat. 1</v>
      </c>
      <c r="M2">
        <f t="shared" ref="M2:M65" ca="1" si="1">NETWORKDAYS(TODAY(), C2-1)</f>
        <v>-2300</v>
      </c>
      <c r="N2">
        <f>E2*F2*K2</f>
        <v>11760</v>
      </c>
      <c r="O2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17-SC1Aid-Vie10/6</v>
      </c>
    </row>
    <row r="3" spans="1:15" x14ac:dyDescent="0.35">
      <c r="A3" t="s">
        <v>19</v>
      </c>
      <c r="B3" t="s">
        <v>2</v>
      </c>
      <c r="C3" s="1">
        <v>42896</v>
      </c>
      <c r="D3" t="s">
        <v>20</v>
      </c>
      <c r="E3" s="7">
        <v>84</v>
      </c>
      <c r="F3" s="7">
        <f>IFERROR(VLOOKUP(E3,Margins!$A:$B,2,TRUE),"")</f>
        <v>0.1</v>
      </c>
      <c r="G3" s="7">
        <f t="shared" si="0"/>
        <v>8400</v>
      </c>
      <c r="H3" t="s">
        <v>63</v>
      </c>
      <c r="I3">
        <v>1000</v>
      </c>
      <c r="J3">
        <f>IF(Table1[[#This Row],[Tickets Sold]]&gt;500,8,5)</f>
        <v>8</v>
      </c>
      <c r="K3">
        <v>740</v>
      </c>
      <c r="L3" t="str">
        <f>VLOOKUP(H3,Descriptions!A:B, 2, FALSE)</f>
        <v>Seating Cat. 2</v>
      </c>
      <c r="M3">
        <f t="shared" ca="1" si="1"/>
        <v>-2300</v>
      </c>
      <c r="O3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17-SC2Aid-Vie10/6</v>
      </c>
    </row>
    <row r="4" spans="1:15" x14ac:dyDescent="0.35">
      <c r="A4" t="s">
        <v>19</v>
      </c>
      <c r="B4" t="s">
        <v>2</v>
      </c>
      <c r="C4" s="1">
        <v>42896</v>
      </c>
      <c r="D4" t="s">
        <v>20</v>
      </c>
      <c r="E4" s="7">
        <v>121</v>
      </c>
      <c r="F4" s="7">
        <f>IFERROR(VLOOKUP(E4,Margins!$A:$B,2,TRUE),"")</f>
        <v>0.15</v>
      </c>
      <c r="G4" s="7">
        <f t="shared" si="0"/>
        <v>9075</v>
      </c>
      <c r="H4" t="s">
        <v>64</v>
      </c>
      <c r="I4">
        <v>500</v>
      </c>
      <c r="J4">
        <f>IF(Table1[[#This Row],[Tickets Sold]]&gt;500,8,5)</f>
        <v>5</v>
      </c>
      <c r="K4">
        <v>250</v>
      </c>
      <c r="L4" t="str">
        <f>VLOOKUP(H4,Descriptions!A:B, 2, FALSE)</f>
        <v>Seating Cat. 3</v>
      </c>
      <c r="M4">
        <f t="shared" ca="1" si="1"/>
        <v>-2300</v>
      </c>
      <c r="O4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17-SC3Aid-Vie10/6</v>
      </c>
    </row>
    <row r="5" spans="1:15" x14ac:dyDescent="0.35">
      <c r="A5" t="s">
        <v>19</v>
      </c>
      <c r="B5" t="s">
        <v>2</v>
      </c>
      <c r="C5" s="1">
        <v>42896</v>
      </c>
      <c r="D5" t="s">
        <v>20</v>
      </c>
      <c r="E5" s="7">
        <v>272</v>
      </c>
      <c r="F5" s="7">
        <f>IFERROR(VLOOKUP(E5,Margins!$A:$B,2,TRUE),"")</f>
        <v>0.25</v>
      </c>
      <c r="G5" s="7">
        <f t="shared" si="0"/>
        <v>20400</v>
      </c>
      <c r="H5" t="s">
        <v>65</v>
      </c>
      <c r="I5">
        <v>300</v>
      </c>
      <c r="J5">
        <f>IF(Table1[[#This Row],[Tickets Sold]]&gt;500,8,5)</f>
        <v>5</v>
      </c>
      <c r="K5">
        <v>198</v>
      </c>
      <c r="L5" t="str">
        <f>VLOOKUP(H5,Descriptions!A:B, 2, FALSE)</f>
        <v>Ticket + Air travel Package</v>
      </c>
      <c r="M5">
        <f t="shared" ca="1" si="1"/>
        <v>-2300</v>
      </c>
      <c r="O5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17-TA1Aid-Vie10/6</v>
      </c>
    </row>
    <row r="6" spans="1:15" x14ac:dyDescent="0.35">
      <c r="A6" t="s">
        <v>19</v>
      </c>
      <c r="B6" t="s">
        <v>2</v>
      </c>
      <c r="C6" s="1">
        <v>42896</v>
      </c>
      <c r="D6" t="s">
        <v>20</v>
      </c>
      <c r="E6" s="7">
        <v>370</v>
      </c>
      <c r="F6" s="7">
        <f>IFERROR(VLOOKUP(E6,Margins!$A:$B,2,TRUE),"")</f>
        <v>0.25</v>
      </c>
      <c r="G6" s="7">
        <f t="shared" si="0"/>
        <v>37000</v>
      </c>
      <c r="H6" t="s">
        <v>66</v>
      </c>
      <c r="I6">
        <v>400</v>
      </c>
      <c r="J6">
        <f>IF(Table1[[#This Row],[Tickets Sold]]&gt;500,8,5)</f>
        <v>5</v>
      </c>
      <c r="K6">
        <v>324</v>
      </c>
      <c r="L6" t="str">
        <f>VLOOKUP(H6,Descriptions!A:B, 2, FALSE)</f>
        <v>Ticket + Air travel + Hotel Package</v>
      </c>
      <c r="M6">
        <f t="shared" ca="1" si="1"/>
        <v>-2300</v>
      </c>
      <c r="O6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17-TA2Aid-Vie10/6</v>
      </c>
    </row>
    <row r="7" spans="1:15" x14ac:dyDescent="0.35">
      <c r="A7" t="s">
        <v>19</v>
      </c>
      <c r="B7" t="s">
        <v>5</v>
      </c>
      <c r="C7" s="1">
        <v>42904</v>
      </c>
      <c r="D7" t="s">
        <v>20</v>
      </c>
      <c r="E7" s="7">
        <v>31</v>
      </c>
      <c r="F7" s="7">
        <f>IFERROR(VLOOKUP(E7,Margins!$A:$B,2,TRUE),"")</f>
        <v>7.0000000000000007E-2</v>
      </c>
      <c r="G7" s="7">
        <f t="shared" si="0"/>
        <v>8680.0000000000018</v>
      </c>
      <c r="H7" t="s">
        <v>62</v>
      </c>
      <c r="I7">
        <v>4000</v>
      </c>
      <c r="J7">
        <f>IF(Table1[[#This Row],[Tickets Sold]]&gt;500,8,5)</f>
        <v>8</v>
      </c>
      <c r="K7">
        <v>2800</v>
      </c>
      <c r="L7" t="str">
        <f>VLOOKUP(H7,Descriptions!A:B, 2, FALSE)</f>
        <v>Seating Cat. 1</v>
      </c>
      <c r="M7">
        <f t="shared" ca="1" si="1"/>
        <v>-2294</v>
      </c>
      <c r="O7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17-SC1Aid-Mad18/6</v>
      </c>
    </row>
    <row r="8" spans="1:15" x14ac:dyDescent="0.35">
      <c r="A8" t="s">
        <v>19</v>
      </c>
      <c r="B8" t="s">
        <v>5</v>
      </c>
      <c r="C8" s="1">
        <v>42904</v>
      </c>
      <c r="D8" t="s">
        <v>20</v>
      </c>
      <c r="E8" s="7">
        <v>93</v>
      </c>
      <c r="F8" s="7">
        <f>IFERROR(VLOOKUP(E8,Margins!$A:$B,2,TRUE),"")</f>
        <v>0.1</v>
      </c>
      <c r="G8" s="7">
        <f t="shared" si="0"/>
        <v>11160</v>
      </c>
      <c r="H8" t="s">
        <v>63</v>
      </c>
      <c r="I8">
        <v>1200</v>
      </c>
      <c r="J8">
        <f>IF(Table1[[#This Row],[Tickets Sold]]&gt;500,8,5)</f>
        <v>8</v>
      </c>
      <c r="K8">
        <v>1044</v>
      </c>
      <c r="L8" t="str">
        <f>VLOOKUP(H8,Descriptions!A:B, 2, FALSE)</f>
        <v>Seating Cat. 2</v>
      </c>
      <c r="M8">
        <f t="shared" ca="1" si="1"/>
        <v>-2294</v>
      </c>
      <c r="O8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17-SC2Aid-Mad18/6</v>
      </c>
    </row>
    <row r="9" spans="1:15" x14ac:dyDescent="0.35">
      <c r="A9" t="s">
        <v>19</v>
      </c>
      <c r="B9" t="s">
        <v>5</v>
      </c>
      <c r="C9" s="1">
        <v>42904</v>
      </c>
      <c r="D9" t="s">
        <v>20</v>
      </c>
      <c r="E9" s="7">
        <v>189</v>
      </c>
      <c r="F9" s="7">
        <f>IFERROR(VLOOKUP(E9,Margins!$A:$B,2,TRUE),"")</f>
        <v>0.15</v>
      </c>
      <c r="G9" s="7">
        <f t="shared" si="0"/>
        <v>19845</v>
      </c>
      <c r="H9" t="s">
        <v>64</v>
      </c>
      <c r="I9">
        <v>700</v>
      </c>
      <c r="J9">
        <f>IF(Table1[[#This Row],[Tickets Sold]]&gt;500,8,5)</f>
        <v>8</v>
      </c>
      <c r="K9">
        <v>630</v>
      </c>
      <c r="L9" t="str">
        <f>VLOOKUP(H9,Descriptions!A:B, 2, FALSE)</f>
        <v>Seating Cat. 3</v>
      </c>
      <c r="M9">
        <f t="shared" ca="1" si="1"/>
        <v>-2294</v>
      </c>
      <c r="O9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17-SC3Aid-Mad18/6</v>
      </c>
    </row>
    <row r="10" spans="1:15" x14ac:dyDescent="0.35">
      <c r="A10" t="s">
        <v>19</v>
      </c>
      <c r="B10" t="s">
        <v>47</v>
      </c>
      <c r="C10" s="1">
        <v>42910</v>
      </c>
      <c r="D10" t="s">
        <v>20</v>
      </c>
      <c r="E10" s="7">
        <v>59</v>
      </c>
      <c r="F10" s="7">
        <f>IFERROR(VLOOKUP(E10,Margins!$A:$B,2,TRUE),"")</f>
        <v>0.1</v>
      </c>
      <c r="G10" s="7">
        <f t="shared" si="0"/>
        <v>11800</v>
      </c>
      <c r="H10" t="s">
        <v>62</v>
      </c>
      <c r="I10">
        <v>2000</v>
      </c>
      <c r="J10">
        <f>IF(Table1[[#This Row],[Tickets Sold]]&gt;500,8,5)</f>
        <v>8</v>
      </c>
      <c r="K10">
        <v>1520</v>
      </c>
      <c r="L10" t="str">
        <f>VLOOKUP(H10,Descriptions!A:B, 2, FALSE)</f>
        <v>Seating Cat. 1</v>
      </c>
      <c r="M10">
        <f t="shared" ca="1" si="1"/>
        <v>-2290</v>
      </c>
      <c r="O10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17-SC1Aid-Sto24/6</v>
      </c>
    </row>
    <row r="11" spans="1:15" x14ac:dyDescent="0.35">
      <c r="A11" t="s">
        <v>19</v>
      </c>
      <c r="B11" t="s">
        <v>47</v>
      </c>
      <c r="C11" s="1">
        <v>42910</v>
      </c>
      <c r="D11" t="s">
        <v>20</v>
      </c>
      <c r="E11" s="7">
        <v>93</v>
      </c>
      <c r="F11" s="7">
        <f>IFERROR(VLOOKUP(E11,Margins!$A:$B,2,TRUE),"")</f>
        <v>0.1</v>
      </c>
      <c r="G11" s="7">
        <f t="shared" si="0"/>
        <v>8370</v>
      </c>
      <c r="H11" t="s">
        <v>63</v>
      </c>
      <c r="I11">
        <v>900</v>
      </c>
      <c r="J11">
        <f>IF(Table1[[#This Row],[Tickets Sold]]&gt;500,8,5)</f>
        <v>8</v>
      </c>
      <c r="K11">
        <v>513</v>
      </c>
      <c r="L11" t="str">
        <f>VLOOKUP(H11,Descriptions!A:B, 2, FALSE)</f>
        <v>Seating Cat. 2</v>
      </c>
      <c r="M11">
        <f t="shared" ca="1" si="1"/>
        <v>-2290</v>
      </c>
      <c r="O11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17-SC2Aid-Sto24/6</v>
      </c>
    </row>
    <row r="12" spans="1:15" x14ac:dyDescent="0.35">
      <c r="A12" t="s">
        <v>19</v>
      </c>
      <c r="B12" t="s">
        <v>47</v>
      </c>
      <c r="C12" s="1">
        <v>42910</v>
      </c>
      <c r="D12" t="s">
        <v>20</v>
      </c>
      <c r="E12" s="7">
        <v>168</v>
      </c>
      <c r="F12" s="7">
        <f>IFERROR(VLOOKUP(E12,Margins!$A:$B,2,TRUE),"")</f>
        <v>0.15</v>
      </c>
      <c r="G12" s="7">
        <f t="shared" si="0"/>
        <v>11340</v>
      </c>
      <c r="H12" t="s">
        <v>64</v>
      </c>
      <c r="I12">
        <v>450</v>
      </c>
      <c r="J12">
        <f>IF(Table1[[#This Row],[Tickets Sold]]&gt;500,8,5)</f>
        <v>5</v>
      </c>
      <c r="K12">
        <v>356</v>
      </c>
      <c r="L12" t="str">
        <f>VLOOKUP(H12,Descriptions!A:B, 2, FALSE)</f>
        <v>Seating Cat. 3</v>
      </c>
      <c r="M12">
        <f t="shared" ca="1" si="1"/>
        <v>-2290</v>
      </c>
      <c r="O12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17-SC3Aid-Sto24/6</v>
      </c>
    </row>
    <row r="13" spans="1:15" x14ac:dyDescent="0.35">
      <c r="A13" t="s">
        <v>19</v>
      </c>
      <c r="B13" t="s">
        <v>47</v>
      </c>
      <c r="C13" s="1">
        <v>42910</v>
      </c>
      <c r="D13" t="s">
        <v>20</v>
      </c>
      <c r="E13" s="7">
        <v>283</v>
      </c>
      <c r="F13" s="7">
        <f>IFERROR(VLOOKUP(E13,Margins!$A:$B,2,TRUE),"")</f>
        <v>0.25</v>
      </c>
      <c r="G13" s="7">
        <f t="shared" si="0"/>
        <v>21225</v>
      </c>
      <c r="H13" t="s">
        <v>65</v>
      </c>
      <c r="I13">
        <v>300</v>
      </c>
      <c r="J13">
        <f>IF(Table1[[#This Row],[Tickets Sold]]&gt;500,8,5)</f>
        <v>5</v>
      </c>
      <c r="K13">
        <v>231</v>
      </c>
      <c r="L13" t="str">
        <f>VLOOKUP(H13,Descriptions!A:B, 2, FALSE)</f>
        <v>Ticket + Air travel Package</v>
      </c>
      <c r="M13">
        <f t="shared" ca="1" si="1"/>
        <v>-2290</v>
      </c>
      <c r="O13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17-TA1Aid-Sto24/6</v>
      </c>
    </row>
    <row r="14" spans="1:15" x14ac:dyDescent="0.35">
      <c r="A14" t="s">
        <v>19</v>
      </c>
      <c r="B14" t="s">
        <v>47</v>
      </c>
      <c r="C14" s="1">
        <v>42910</v>
      </c>
      <c r="D14" t="s">
        <v>20</v>
      </c>
      <c r="E14" s="7">
        <v>363</v>
      </c>
      <c r="F14" s="7">
        <f>IFERROR(VLOOKUP(E14,Margins!$A:$B,2,TRUE),"")</f>
        <v>0.25</v>
      </c>
      <c r="G14" s="7">
        <f t="shared" si="0"/>
        <v>36300</v>
      </c>
      <c r="H14" t="s">
        <v>66</v>
      </c>
      <c r="I14">
        <v>400</v>
      </c>
      <c r="J14">
        <f>IF(Table1[[#This Row],[Tickets Sold]]&gt;500,8,5)</f>
        <v>5</v>
      </c>
      <c r="K14">
        <v>320</v>
      </c>
      <c r="L14" t="str">
        <f>VLOOKUP(H14,Descriptions!A:B, 2, FALSE)</f>
        <v>Ticket + Air travel + Hotel Package</v>
      </c>
      <c r="M14">
        <f t="shared" ca="1" si="1"/>
        <v>-2290</v>
      </c>
      <c r="O14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17-TA2Aid-Sto24/6</v>
      </c>
    </row>
    <row r="15" spans="1:15" x14ac:dyDescent="0.35">
      <c r="A15" t="s">
        <v>19</v>
      </c>
      <c r="B15" t="s">
        <v>50</v>
      </c>
      <c r="C15" s="1">
        <v>42929</v>
      </c>
      <c r="D15" t="s">
        <v>20</v>
      </c>
      <c r="E15" s="7">
        <v>68</v>
      </c>
      <c r="F15" s="7">
        <f>IFERROR(VLOOKUP(E15,Margins!$A:$B,2,TRUE),"")</f>
        <v>0.1</v>
      </c>
      <c r="G15" s="7">
        <f t="shared" si="0"/>
        <v>16320.000000000002</v>
      </c>
      <c r="H15" t="s">
        <v>62</v>
      </c>
      <c r="I15">
        <v>2400</v>
      </c>
      <c r="J15">
        <f>IF(Table1[[#This Row],[Tickets Sold]]&gt;500,8,5)</f>
        <v>8</v>
      </c>
      <c r="K15">
        <v>1752</v>
      </c>
      <c r="L15" t="str">
        <f>VLOOKUP(H15,Descriptions!A:B, 2, FALSE)</f>
        <v>Seating Cat. 1</v>
      </c>
      <c r="M15">
        <f t="shared" ca="1" si="1"/>
        <v>-2277</v>
      </c>
      <c r="O15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17-SC1Aid-Lyo13/7</v>
      </c>
    </row>
    <row r="16" spans="1:15" x14ac:dyDescent="0.35">
      <c r="A16" t="s">
        <v>19</v>
      </c>
      <c r="B16" t="s">
        <v>50</v>
      </c>
      <c r="C16" s="1">
        <v>42929</v>
      </c>
      <c r="D16" t="s">
        <v>20</v>
      </c>
      <c r="E16" s="7">
        <v>89</v>
      </c>
      <c r="F16" s="7">
        <f>IFERROR(VLOOKUP(E16,Margins!$A:$B,2,TRUE),"")</f>
        <v>0.1</v>
      </c>
      <c r="G16" s="7">
        <f t="shared" si="0"/>
        <v>6675</v>
      </c>
      <c r="H16" t="s">
        <v>63</v>
      </c>
      <c r="I16">
        <v>750</v>
      </c>
      <c r="J16">
        <f>IF(Table1[[#This Row],[Tickets Sold]]&gt;500,8,5)</f>
        <v>8</v>
      </c>
      <c r="K16">
        <v>578</v>
      </c>
      <c r="L16" t="str">
        <f>VLOOKUP(H16,Descriptions!A:B, 2, FALSE)</f>
        <v>Seating Cat. 2</v>
      </c>
      <c r="M16">
        <f t="shared" ca="1" si="1"/>
        <v>-2277</v>
      </c>
      <c r="O16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17-SC2Aid-Lyo13/7</v>
      </c>
    </row>
    <row r="17" spans="1:15" x14ac:dyDescent="0.35">
      <c r="A17" t="s">
        <v>19</v>
      </c>
      <c r="B17" t="s">
        <v>49</v>
      </c>
      <c r="C17" s="1">
        <v>42940</v>
      </c>
      <c r="D17" t="s">
        <v>20</v>
      </c>
      <c r="E17" s="7">
        <v>70</v>
      </c>
      <c r="F17" s="7">
        <f>IFERROR(VLOOKUP(E17,Margins!$A:$B,2,TRUE),"")</f>
        <v>0.1</v>
      </c>
      <c r="G17" s="7">
        <f t="shared" si="0"/>
        <v>23800</v>
      </c>
      <c r="H17" t="s">
        <v>62</v>
      </c>
      <c r="I17">
        <v>3400</v>
      </c>
      <c r="J17">
        <f>IF(Table1[[#This Row],[Tickets Sold]]&gt;500,8,5)</f>
        <v>8</v>
      </c>
      <c r="K17">
        <v>2754</v>
      </c>
      <c r="L17" t="str">
        <f>VLOOKUP(H17,Descriptions!A:B, 2, FALSE)</f>
        <v>Seating Cat. 1</v>
      </c>
      <c r="M17">
        <f t="shared" ca="1" si="1"/>
        <v>-2269</v>
      </c>
      <c r="O17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17-SC1Aid-Nic24/7</v>
      </c>
    </row>
    <row r="18" spans="1:15" x14ac:dyDescent="0.35">
      <c r="A18" t="s">
        <v>19</v>
      </c>
      <c r="B18" t="s">
        <v>49</v>
      </c>
      <c r="C18" s="1">
        <v>42940</v>
      </c>
      <c r="D18" t="s">
        <v>20</v>
      </c>
      <c r="E18" s="7">
        <v>115</v>
      </c>
      <c r="F18" s="7">
        <f>IFERROR(VLOOKUP(E18,Margins!$A:$B,2,TRUE),"")</f>
        <v>0.15</v>
      </c>
      <c r="G18" s="7">
        <f t="shared" si="0"/>
        <v>16387.5</v>
      </c>
      <c r="H18" t="s">
        <v>63</v>
      </c>
      <c r="I18">
        <v>950</v>
      </c>
      <c r="J18">
        <f>IF(Table1[[#This Row],[Tickets Sold]]&gt;500,8,5)</f>
        <v>8</v>
      </c>
      <c r="K18">
        <v>618</v>
      </c>
      <c r="L18" t="str">
        <f>VLOOKUP(H18,Descriptions!A:B, 2, FALSE)</f>
        <v>Seating Cat. 2</v>
      </c>
      <c r="M18">
        <f t="shared" ca="1" si="1"/>
        <v>-2269</v>
      </c>
      <c r="O18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17-SC2Aid-Nic24/7</v>
      </c>
    </row>
    <row r="19" spans="1:15" x14ac:dyDescent="0.35">
      <c r="A19" t="s">
        <v>19</v>
      </c>
      <c r="B19" t="s">
        <v>49</v>
      </c>
      <c r="C19" s="1">
        <v>42940</v>
      </c>
      <c r="D19" t="s">
        <v>20</v>
      </c>
      <c r="E19" s="7">
        <v>169</v>
      </c>
      <c r="F19" s="7">
        <f>IFERROR(VLOOKUP(E19,Margins!$A:$B,2,TRUE),"")</f>
        <v>0.15</v>
      </c>
      <c r="G19" s="7">
        <f t="shared" si="0"/>
        <v>11914.499999999998</v>
      </c>
      <c r="H19" t="s">
        <v>64</v>
      </c>
      <c r="I19">
        <v>470</v>
      </c>
      <c r="J19">
        <f>IF(Table1[[#This Row],[Tickets Sold]]&gt;500,8,5)</f>
        <v>5</v>
      </c>
      <c r="K19">
        <v>287</v>
      </c>
      <c r="L19" t="str">
        <f>VLOOKUP(H19,Descriptions!A:B, 2, FALSE)</f>
        <v>Seating Cat. 3</v>
      </c>
      <c r="M19">
        <f t="shared" ca="1" si="1"/>
        <v>-2269</v>
      </c>
      <c r="O19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17-SC3Aid-Nic24/7</v>
      </c>
    </row>
    <row r="20" spans="1:15" x14ac:dyDescent="0.35">
      <c r="A20" t="s">
        <v>19</v>
      </c>
      <c r="B20" t="s">
        <v>48</v>
      </c>
      <c r="C20" s="1">
        <v>42975</v>
      </c>
      <c r="D20" t="s">
        <v>20</v>
      </c>
      <c r="E20" s="7">
        <v>65</v>
      </c>
      <c r="F20" s="7">
        <f>IFERROR(VLOOKUP(E20,Margins!$A:$B,2,TRUE),"")</f>
        <v>0.1</v>
      </c>
      <c r="G20" s="7">
        <f t="shared" si="0"/>
        <v>19500</v>
      </c>
      <c r="H20" t="s">
        <v>62</v>
      </c>
      <c r="I20">
        <v>3000</v>
      </c>
      <c r="J20">
        <f>IF(Table1[[#This Row],[Tickets Sold]]&gt;500,8,5)</f>
        <v>8</v>
      </c>
      <c r="K20">
        <v>1770</v>
      </c>
      <c r="L20" t="str">
        <f>VLOOKUP(H20,Descriptions!A:B, 2, FALSE)</f>
        <v>Seating Cat. 1</v>
      </c>
      <c r="M20">
        <f t="shared" ca="1" si="1"/>
        <v>-2244</v>
      </c>
      <c r="O20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17-SC1Aid-Par28/8</v>
      </c>
    </row>
    <row r="21" spans="1:15" x14ac:dyDescent="0.35">
      <c r="A21" t="s">
        <v>19</v>
      </c>
      <c r="B21" t="s">
        <v>48</v>
      </c>
      <c r="C21" s="1">
        <v>42975</v>
      </c>
      <c r="D21" t="s">
        <v>20</v>
      </c>
      <c r="E21" s="7">
        <v>88</v>
      </c>
      <c r="F21" s="7">
        <f>IFERROR(VLOOKUP(E21,Margins!$A:$B,2,TRUE),"")</f>
        <v>0.1</v>
      </c>
      <c r="G21" s="7">
        <f t="shared" si="0"/>
        <v>8800</v>
      </c>
      <c r="H21" t="s">
        <v>63</v>
      </c>
      <c r="I21">
        <v>1000</v>
      </c>
      <c r="J21">
        <f>IF(Table1[[#This Row],[Tickets Sold]]&gt;500,8,5)</f>
        <v>5</v>
      </c>
      <c r="K21">
        <v>500</v>
      </c>
      <c r="L21" t="str">
        <f>VLOOKUP(H21,Descriptions!A:B, 2, FALSE)</f>
        <v>Seating Cat. 2</v>
      </c>
      <c r="M21">
        <f t="shared" ca="1" si="1"/>
        <v>-2244</v>
      </c>
      <c r="O21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17-SC2Aid-Par28/8</v>
      </c>
    </row>
    <row r="22" spans="1:15" x14ac:dyDescent="0.35">
      <c r="A22" t="s">
        <v>19</v>
      </c>
      <c r="B22" t="s">
        <v>48</v>
      </c>
      <c r="C22" s="1">
        <v>42975</v>
      </c>
      <c r="D22" t="s">
        <v>20</v>
      </c>
      <c r="E22" s="7">
        <v>156</v>
      </c>
      <c r="F22" s="7">
        <f>IFERROR(VLOOKUP(E22,Margins!$A:$B,2,TRUE),"")</f>
        <v>0.15</v>
      </c>
      <c r="G22" s="7">
        <f t="shared" si="0"/>
        <v>11700</v>
      </c>
      <c r="H22" t="s">
        <v>64</v>
      </c>
      <c r="I22">
        <v>500</v>
      </c>
      <c r="J22">
        <f>IF(Table1[[#This Row],[Tickets Sold]]&gt;500,8,5)</f>
        <v>5</v>
      </c>
      <c r="K22">
        <v>255</v>
      </c>
      <c r="L22" t="str">
        <f>VLOOKUP(H22,Descriptions!A:B, 2, FALSE)</f>
        <v>Seating Cat. 3</v>
      </c>
      <c r="M22">
        <f t="shared" ca="1" si="1"/>
        <v>-2244</v>
      </c>
      <c r="O22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17-SC3Aid-Par28/8</v>
      </c>
    </row>
    <row r="23" spans="1:15" x14ac:dyDescent="0.35">
      <c r="A23" t="s">
        <v>19</v>
      </c>
      <c r="B23" t="s">
        <v>48</v>
      </c>
      <c r="C23" s="1">
        <v>42975</v>
      </c>
      <c r="D23" t="s">
        <v>20</v>
      </c>
      <c r="E23" s="7">
        <v>26</v>
      </c>
      <c r="F23" s="7">
        <f>IFERROR(VLOOKUP(E23,Margins!$A:$B,2,TRUE),"")</f>
        <v>7.0000000000000007E-2</v>
      </c>
      <c r="G23" s="7">
        <f t="shared" si="0"/>
        <v>161.98000000000002</v>
      </c>
      <c r="H23" t="s">
        <v>67</v>
      </c>
      <c r="I23">
        <v>89</v>
      </c>
      <c r="J23">
        <f>IF(Table1[[#This Row],[Tickets Sold]]&gt;500,8,5)</f>
        <v>5</v>
      </c>
      <c r="K23">
        <v>51</v>
      </c>
      <c r="L23" t="str">
        <f>VLOOKUP(H23,Descriptions!A:B, 2, FALSE)</f>
        <v>Seating-disabled</v>
      </c>
      <c r="M23">
        <f t="shared" ca="1" si="1"/>
        <v>-2244</v>
      </c>
      <c r="O23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17-SCDAid-Par28/8</v>
      </c>
    </row>
    <row r="24" spans="1:15" x14ac:dyDescent="0.35">
      <c r="A24" t="s">
        <v>19</v>
      </c>
      <c r="B24" t="s">
        <v>48</v>
      </c>
      <c r="C24" s="1">
        <v>42975</v>
      </c>
      <c r="D24" t="s">
        <v>20</v>
      </c>
      <c r="E24" s="7">
        <v>187</v>
      </c>
      <c r="F24" s="7">
        <f>IFERROR(VLOOKUP(E24,Margins!$A:$B,2,TRUE),"")</f>
        <v>0.15</v>
      </c>
      <c r="G24" s="7">
        <f t="shared" si="0"/>
        <v>5610</v>
      </c>
      <c r="H24" t="s">
        <v>65</v>
      </c>
      <c r="I24">
        <v>200</v>
      </c>
      <c r="J24">
        <f>IF(Table1[[#This Row],[Tickets Sold]]&gt;500,8,5)</f>
        <v>5</v>
      </c>
      <c r="K24">
        <v>140</v>
      </c>
      <c r="L24" t="str">
        <f>VLOOKUP(H24,Descriptions!A:B, 2, FALSE)</f>
        <v>Ticket + Air travel Package</v>
      </c>
      <c r="M24">
        <f t="shared" ca="1" si="1"/>
        <v>-2244</v>
      </c>
      <c r="O24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17-TA1Aid-Par28/8</v>
      </c>
    </row>
    <row r="25" spans="1:15" x14ac:dyDescent="0.35">
      <c r="A25" t="s">
        <v>19</v>
      </c>
      <c r="B25" t="s">
        <v>48</v>
      </c>
      <c r="C25" s="1">
        <v>42975</v>
      </c>
      <c r="D25" t="s">
        <v>20</v>
      </c>
      <c r="E25" s="7">
        <v>334</v>
      </c>
      <c r="F25" s="7">
        <f>IFERROR(VLOOKUP(E25,Margins!$A:$B,2,TRUE),"")</f>
        <v>0.25</v>
      </c>
      <c r="G25" s="7">
        <f t="shared" si="0"/>
        <v>25050</v>
      </c>
      <c r="H25" t="s">
        <v>66</v>
      </c>
      <c r="I25">
        <v>300</v>
      </c>
      <c r="J25">
        <f>IF(Table1[[#This Row],[Tickets Sold]]&gt;500,8,5)</f>
        <v>5</v>
      </c>
      <c r="K25">
        <v>222</v>
      </c>
      <c r="L25" t="str">
        <f>VLOOKUP(H25,Descriptions!A:B, 2, FALSE)</f>
        <v>Ticket + Air travel + Hotel Package</v>
      </c>
      <c r="M25">
        <f t="shared" ca="1" si="1"/>
        <v>-2244</v>
      </c>
      <c r="O25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17-TA2Aid-Par28/8</v>
      </c>
    </row>
    <row r="26" spans="1:15" x14ac:dyDescent="0.35">
      <c r="A26" t="s">
        <v>7</v>
      </c>
      <c r="B26" t="s">
        <v>2</v>
      </c>
      <c r="C26" s="1">
        <v>42912</v>
      </c>
      <c r="D26" t="s">
        <v>3</v>
      </c>
      <c r="E26" s="7">
        <v>58</v>
      </c>
      <c r="F26" s="7">
        <f>IFERROR(VLOOKUP(E26,Margins!$A:$B,2,TRUE),"")</f>
        <v>0.1</v>
      </c>
      <c r="G26" s="7">
        <f t="shared" si="0"/>
        <v>4408.0000000000009</v>
      </c>
      <c r="H26" t="s">
        <v>62</v>
      </c>
      <c r="I26">
        <v>760</v>
      </c>
      <c r="J26">
        <f>IF(Table1[[#This Row],[Tickets Sold]]&gt;500,8,5)</f>
        <v>5</v>
      </c>
      <c r="K26">
        <v>403</v>
      </c>
      <c r="L26" t="str">
        <f>VLOOKUP(H26,Descriptions!A:B, 2, FALSE)</f>
        <v>Seating Cat. 1</v>
      </c>
      <c r="M26">
        <f t="shared" ca="1" si="1"/>
        <v>-2289</v>
      </c>
      <c r="O26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17-SC1Bea-Vie26/6</v>
      </c>
    </row>
    <row r="27" spans="1:15" x14ac:dyDescent="0.35">
      <c r="A27" t="s">
        <v>7</v>
      </c>
      <c r="B27" t="s">
        <v>2</v>
      </c>
      <c r="C27" s="1">
        <v>42918</v>
      </c>
      <c r="D27" t="s">
        <v>3</v>
      </c>
      <c r="E27" s="7">
        <v>80</v>
      </c>
      <c r="F27" s="7">
        <f>IFERROR(VLOOKUP(E27,Margins!$A:$B,2,TRUE),"")</f>
        <v>0.1</v>
      </c>
      <c r="G27" s="7">
        <f t="shared" si="0"/>
        <v>2800</v>
      </c>
      <c r="H27" t="s">
        <v>63</v>
      </c>
      <c r="I27">
        <v>350</v>
      </c>
      <c r="J27">
        <f>IF(Table1[[#This Row],[Tickets Sold]]&gt;500,8,5)</f>
        <v>5</v>
      </c>
      <c r="K27">
        <v>217</v>
      </c>
      <c r="L27" t="str">
        <f>VLOOKUP(H27,Descriptions!A:B, 2, FALSE)</f>
        <v>Seating Cat. 2</v>
      </c>
      <c r="M27">
        <f t="shared" ca="1" si="1"/>
        <v>-2284</v>
      </c>
      <c r="O27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17-SC2Bea-Vie2/7</v>
      </c>
    </row>
    <row r="28" spans="1:15" x14ac:dyDescent="0.35">
      <c r="A28" t="s">
        <v>7</v>
      </c>
      <c r="B28" t="s">
        <v>2</v>
      </c>
      <c r="C28" s="1">
        <v>42922</v>
      </c>
      <c r="D28" t="s">
        <v>3</v>
      </c>
      <c r="E28" s="7">
        <v>24</v>
      </c>
      <c r="F28" s="7">
        <f>IFERROR(VLOOKUP(E28,Margins!$A:$B,2,TRUE),"")</f>
        <v>7.0000000000000007E-2</v>
      </c>
      <c r="G28" s="7">
        <f t="shared" si="0"/>
        <v>168.00000000000003</v>
      </c>
      <c r="H28" t="s">
        <v>11</v>
      </c>
      <c r="I28">
        <v>100</v>
      </c>
      <c r="J28">
        <f>IF(Table1[[#This Row],[Tickets Sold]]&gt;500,8,5)</f>
        <v>5</v>
      </c>
      <c r="K28">
        <v>87</v>
      </c>
      <c r="L28" t="str">
        <f>VLOOKUP(H28,Descriptions!A:B, 2, FALSE)</f>
        <v>Parking place</v>
      </c>
      <c r="M28">
        <f t="shared" ca="1" si="1"/>
        <v>-2282</v>
      </c>
      <c r="O28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17-POSBea-Vie6/7</v>
      </c>
    </row>
    <row r="29" spans="1:15" x14ac:dyDescent="0.35">
      <c r="A29" t="s">
        <v>7</v>
      </c>
      <c r="B29" t="s">
        <v>51</v>
      </c>
      <c r="C29" s="1">
        <v>42951</v>
      </c>
      <c r="D29" t="s">
        <v>3</v>
      </c>
      <c r="E29" s="7">
        <v>52</v>
      </c>
      <c r="F29" s="7">
        <f>IFERROR(VLOOKUP(E29,Margins!$A:$B,2,TRUE),"")</f>
        <v>0.1</v>
      </c>
      <c r="G29" s="7">
        <f t="shared" si="0"/>
        <v>3608.8</v>
      </c>
      <c r="H29" t="s">
        <v>62</v>
      </c>
      <c r="I29">
        <v>694</v>
      </c>
      <c r="J29">
        <f>IF(Table1[[#This Row],[Tickets Sold]]&gt;500,8,5)</f>
        <v>5</v>
      </c>
      <c r="K29">
        <v>424</v>
      </c>
      <c r="L29" t="str">
        <f>VLOOKUP(H29,Descriptions!A:B, 2, FALSE)</f>
        <v>Seating Cat. 1</v>
      </c>
      <c r="M29">
        <f t="shared" ca="1" si="1"/>
        <v>-2261</v>
      </c>
      <c r="O29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17-SC1Bea-Bar4/8</v>
      </c>
    </row>
    <row r="30" spans="1:15" x14ac:dyDescent="0.35">
      <c r="A30" t="s">
        <v>7</v>
      </c>
      <c r="B30" t="s">
        <v>51</v>
      </c>
      <c r="C30" s="1">
        <v>42951</v>
      </c>
      <c r="D30" t="s">
        <v>3</v>
      </c>
      <c r="E30" s="7">
        <v>116</v>
      </c>
      <c r="F30" s="7">
        <f>IFERROR(VLOOKUP(E30,Margins!$A:$B,2,TRUE),"")</f>
        <v>0.15</v>
      </c>
      <c r="G30" s="7">
        <f t="shared" si="0"/>
        <v>8352</v>
      </c>
      <c r="H30" t="s">
        <v>63</v>
      </c>
      <c r="I30">
        <v>480</v>
      </c>
      <c r="J30">
        <f>IF(Table1[[#This Row],[Tickets Sold]]&gt;500,8,5)</f>
        <v>5</v>
      </c>
      <c r="K30">
        <v>245</v>
      </c>
      <c r="L30" t="str">
        <f>VLOOKUP(H30,Descriptions!A:B, 2, FALSE)</f>
        <v>Seating Cat. 2</v>
      </c>
      <c r="M30">
        <f t="shared" ca="1" si="1"/>
        <v>-2261</v>
      </c>
      <c r="O30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17-SC2Bea-Bar4/8</v>
      </c>
    </row>
    <row r="31" spans="1:15" x14ac:dyDescent="0.35">
      <c r="A31" t="s">
        <v>7</v>
      </c>
      <c r="B31" t="s">
        <v>52</v>
      </c>
      <c r="C31" s="1">
        <v>42957</v>
      </c>
      <c r="D31" t="s">
        <v>3</v>
      </c>
      <c r="E31" s="7">
        <v>65</v>
      </c>
      <c r="F31" s="7">
        <f>IFERROR(VLOOKUP(E31,Margins!$A:$B,2,TRUE),"")</f>
        <v>0.1</v>
      </c>
      <c r="G31" s="7">
        <f t="shared" si="0"/>
        <v>8190</v>
      </c>
      <c r="H31" t="s">
        <v>62</v>
      </c>
      <c r="I31">
        <v>1260</v>
      </c>
      <c r="J31">
        <f>IF(Table1[[#This Row],[Tickets Sold]]&gt;500,8,5)</f>
        <v>8</v>
      </c>
      <c r="K31">
        <v>1147</v>
      </c>
      <c r="L31" t="str">
        <f>VLOOKUP(H31,Descriptions!A:B, 2, FALSE)</f>
        <v>Seating Cat. 1</v>
      </c>
      <c r="M31">
        <f t="shared" ca="1" si="1"/>
        <v>-2257</v>
      </c>
      <c r="O31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17-SC1Bea-Lon10/8</v>
      </c>
    </row>
    <row r="32" spans="1:15" x14ac:dyDescent="0.35">
      <c r="A32" t="s">
        <v>7</v>
      </c>
      <c r="B32" t="s">
        <v>52</v>
      </c>
      <c r="C32" s="1">
        <v>42957</v>
      </c>
      <c r="D32" t="s">
        <v>3</v>
      </c>
      <c r="E32" s="7">
        <v>95</v>
      </c>
      <c r="F32" s="7">
        <f>IFERROR(VLOOKUP(E32,Margins!$A:$B,2,TRUE),"")</f>
        <v>0.1</v>
      </c>
      <c r="G32" s="7">
        <f t="shared" si="0"/>
        <v>4655</v>
      </c>
      <c r="H32" t="s">
        <v>63</v>
      </c>
      <c r="I32">
        <v>490</v>
      </c>
      <c r="J32">
        <f>IF(Table1[[#This Row],[Tickets Sold]]&gt;500,8,5)</f>
        <v>5</v>
      </c>
      <c r="K32">
        <v>348</v>
      </c>
      <c r="L32" t="str">
        <f>VLOOKUP(H32,Descriptions!A:B, 2, FALSE)</f>
        <v>Seating Cat. 2</v>
      </c>
      <c r="M32">
        <f t="shared" ca="1" si="1"/>
        <v>-2257</v>
      </c>
      <c r="O32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17-SC2Bea-Lon10/8</v>
      </c>
    </row>
    <row r="33" spans="1:15" x14ac:dyDescent="0.35">
      <c r="A33" t="s">
        <v>7</v>
      </c>
      <c r="B33" t="s">
        <v>52</v>
      </c>
      <c r="C33" s="1">
        <v>42957</v>
      </c>
      <c r="D33" t="s">
        <v>3</v>
      </c>
      <c r="E33" s="7">
        <v>298</v>
      </c>
      <c r="F33" s="7">
        <f>IFERROR(VLOOKUP(E33,Margins!$A:$B,2,TRUE),"")</f>
        <v>0.25</v>
      </c>
      <c r="G33" s="7">
        <f t="shared" si="0"/>
        <v>22350</v>
      </c>
      <c r="H33" t="s">
        <v>65</v>
      </c>
      <c r="I33">
        <v>300</v>
      </c>
      <c r="J33">
        <f>IF(Table1[[#This Row],[Tickets Sold]]&gt;500,8,5)</f>
        <v>5</v>
      </c>
      <c r="K33">
        <v>225</v>
      </c>
      <c r="L33" t="str">
        <f>VLOOKUP(H33,Descriptions!A:B, 2, FALSE)</f>
        <v>Ticket + Air travel Package</v>
      </c>
      <c r="M33">
        <f t="shared" ca="1" si="1"/>
        <v>-2257</v>
      </c>
      <c r="O33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17-TA1Bea-Lon10/8</v>
      </c>
    </row>
    <row r="34" spans="1:15" x14ac:dyDescent="0.35">
      <c r="A34" t="s">
        <v>7</v>
      </c>
      <c r="B34" t="s">
        <v>52</v>
      </c>
      <c r="C34" s="1">
        <v>42957</v>
      </c>
      <c r="D34" t="s">
        <v>3</v>
      </c>
      <c r="E34" s="7">
        <v>337</v>
      </c>
      <c r="F34" s="7">
        <f>IFERROR(VLOOKUP(E34,Margins!$A:$B,2,TRUE),"")</f>
        <v>0.25</v>
      </c>
      <c r="G34" s="7">
        <f t="shared" si="0"/>
        <v>25275</v>
      </c>
      <c r="H34" t="s">
        <v>66</v>
      </c>
      <c r="I34">
        <v>300</v>
      </c>
      <c r="J34">
        <f>IF(Table1[[#This Row],[Tickets Sold]]&gt;500,8,5)</f>
        <v>5</v>
      </c>
      <c r="K34">
        <v>240</v>
      </c>
      <c r="L34" t="str">
        <f>VLOOKUP(H34,Descriptions!A:B, 2, FALSE)</f>
        <v>Ticket + Air travel + Hotel Package</v>
      </c>
      <c r="M34">
        <f t="shared" ca="1" si="1"/>
        <v>-2257</v>
      </c>
      <c r="O34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17-TA2Bea-Lon10/8</v>
      </c>
    </row>
    <row r="35" spans="1:15" x14ac:dyDescent="0.35">
      <c r="A35" t="s">
        <v>7</v>
      </c>
      <c r="B35" t="s">
        <v>5</v>
      </c>
      <c r="C35" s="1">
        <v>42963</v>
      </c>
      <c r="D35" t="s">
        <v>3</v>
      </c>
      <c r="E35" s="7">
        <v>73</v>
      </c>
      <c r="F35" s="7">
        <f>IFERROR(VLOOKUP(E35,Margins!$A:$B,2,TRUE),"")</f>
        <v>0.1</v>
      </c>
      <c r="G35" s="7">
        <f t="shared" si="0"/>
        <v>7343.8000000000011</v>
      </c>
      <c r="H35" t="s">
        <v>62</v>
      </c>
      <c r="I35">
        <v>1006</v>
      </c>
      <c r="J35">
        <f>IF(Table1[[#This Row],[Tickets Sold]]&gt;500,8,5)</f>
        <v>8</v>
      </c>
      <c r="K35">
        <v>644</v>
      </c>
      <c r="L35" t="str">
        <f>VLOOKUP(H35,Descriptions!A:B, 2, FALSE)</f>
        <v>Seating Cat. 1</v>
      </c>
      <c r="M35">
        <f t="shared" ca="1" si="1"/>
        <v>-2253</v>
      </c>
      <c r="O35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17-SC1Bea-Mad16/8</v>
      </c>
    </row>
    <row r="36" spans="1:15" x14ac:dyDescent="0.35">
      <c r="A36" t="s">
        <v>7</v>
      </c>
      <c r="B36" t="s">
        <v>5</v>
      </c>
      <c r="C36" s="1">
        <v>42963</v>
      </c>
      <c r="D36" t="s">
        <v>3</v>
      </c>
      <c r="E36" s="7">
        <v>80</v>
      </c>
      <c r="F36" s="7">
        <f>IFERROR(VLOOKUP(E36,Margins!$A:$B,2,TRUE),"")</f>
        <v>0.1</v>
      </c>
      <c r="G36" s="7">
        <f t="shared" si="0"/>
        <v>2768</v>
      </c>
      <c r="H36" t="s">
        <v>63</v>
      </c>
      <c r="I36">
        <v>346</v>
      </c>
      <c r="J36">
        <f>IF(Table1[[#This Row],[Tickets Sold]]&gt;500,8,5)</f>
        <v>5</v>
      </c>
      <c r="K36">
        <v>326</v>
      </c>
      <c r="L36" t="str">
        <f>VLOOKUP(H36,Descriptions!A:B, 2, FALSE)</f>
        <v>Seating Cat. 2</v>
      </c>
      <c r="M36">
        <f t="shared" ca="1" si="1"/>
        <v>-2253</v>
      </c>
      <c r="O36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17-SC2Bea-Mad16/8</v>
      </c>
    </row>
    <row r="37" spans="1:15" x14ac:dyDescent="0.35">
      <c r="A37" t="s">
        <v>7</v>
      </c>
      <c r="B37" t="s">
        <v>5</v>
      </c>
      <c r="C37" s="1">
        <v>42963</v>
      </c>
      <c r="D37" t="s">
        <v>3</v>
      </c>
      <c r="E37" s="7">
        <v>32</v>
      </c>
      <c r="F37" s="7">
        <f>IFERROR(VLOOKUP(E37,Margins!$A:$B,2,TRUE),"")</f>
        <v>7.0000000000000007E-2</v>
      </c>
      <c r="G37" s="7">
        <f t="shared" si="0"/>
        <v>224.00000000000003</v>
      </c>
      <c r="H37" t="s">
        <v>11</v>
      </c>
      <c r="I37">
        <v>100</v>
      </c>
      <c r="J37">
        <f>IF(Table1[[#This Row],[Tickets Sold]]&gt;500,8,5)</f>
        <v>5</v>
      </c>
      <c r="K37">
        <v>72</v>
      </c>
      <c r="L37" t="str">
        <f>VLOOKUP(H37,Descriptions!A:B, 2, FALSE)</f>
        <v>Parking place</v>
      </c>
      <c r="M37">
        <f t="shared" ca="1" si="1"/>
        <v>-2253</v>
      </c>
      <c r="O37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17-POSBea-Mad16/8</v>
      </c>
    </row>
    <row r="38" spans="1:15" x14ac:dyDescent="0.35">
      <c r="A38" t="s">
        <v>7</v>
      </c>
      <c r="B38" t="s">
        <v>5</v>
      </c>
      <c r="C38" s="1">
        <v>42963</v>
      </c>
      <c r="D38" t="s">
        <v>3</v>
      </c>
      <c r="E38" s="7">
        <v>194</v>
      </c>
      <c r="F38" s="7">
        <f>IFERROR(VLOOKUP(E38,Margins!$A:$B,2,TRUE),"")</f>
        <v>0.15</v>
      </c>
      <c r="G38" s="7">
        <f t="shared" si="0"/>
        <v>5820</v>
      </c>
      <c r="H38" t="s">
        <v>65</v>
      </c>
      <c r="I38">
        <v>200</v>
      </c>
      <c r="J38">
        <f>IF(Table1[[#This Row],[Tickets Sold]]&gt;500,8,5)</f>
        <v>5</v>
      </c>
      <c r="K38">
        <v>136</v>
      </c>
      <c r="L38" t="str">
        <f>VLOOKUP(H38,Descriptions!A:B, 2, FALSE)</f>
        <v>Ticket + Air travel Package</v>
      </c>
      <c r="M38">
        <f t="shared" ca="1" si="1"/>
        <v>-2253</v>
      </c>
      <c r="O38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17-TA1Bea-Mad16/8</v>
      </c>
    </row>
    <row r="39" spans="1:15" x14ac:dyDescent="0.35">
      <c r="A39" t="s">
        <v>7</v>
      </c>
      <c r="B39" t="s">
        <v>5</v>
      </c>
      <c r="C39" s="1">
        <v>42963</v>
      </c>
      <c r="D39" t="s">
        <v>3</v>
      </c>
      <c r="E39" s="7">
        <v>315</v>
      </c>
      <c r="F39" s="7">
        <f>IFERROR(VLOOKUP(E39,Margins!$A:$B,2,TRUE),"")</f>
        <v>0.25</v>
      </c>
      <c r="G39" s="7">
        <f t="shared" si="0"/>
        <v>23625</v>
      </c>
      <c r="H39" t="s">
        <v>66</v>
      </c>
      <c r="I39">
        <v>300</v>
      </c>
      <c r="J39">
        <f>IF(Table1[[#This Row],[Tickets Sold]]&gt;500,8,5)</f>
        <v>5</v>
      </c>
      <c r="K39">
        <v>204</v>
      </c>
      <c r="L39" t="str">
        <f>VLOOKUP(H39,Descriptions!A:B, 2, FALSE)</f>
        <v>Ticket + Air travel + Hotel Package</v>
      </c>
      <c r="M39">
        <f t="shared" ca="1" si="1"/>
        <v>-2253</v>
      </c>
      <c r="O39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17-TA2Bea-Mad16/8</v>
      </c>
    </row>
    <row r="40" spans="1:15" x14ac:dyDescent="0.35">
      <c r="A40" t="s">
        <v>7</v>
      </c>
      <c r="B40" t="s">
        <v>53</v>
      </c>
      <c r="C40" s="1">
        <v>42968</v>
      </c>
      <c r="D40" t="s">
        <v>3</v>
      </c>
      <c r="E40" s="7">
        <v>53</v>
      </c>
      <c r="F40" s="7">
        <f>IFERROR(VLOOKUP(E40,Margins!$A:$B,2,TRUE),"")</f>
        <v>0.1</v>
      </c>
      <c r="G40" s="7">
        <f t="shared" si="0"/>
        <v>4536.8</v>
      </c>
      <c r="H40" t="s">
        <v>62</v>
      </c>
      <c r="I40">
        <v>856</v>
      </c>
      <c r="J40">
        <f>IF(Table1[[#This Row],[Tickets Sold]]&gt;500,8,5)</f>
        <v>8</v>
      </c>
      <c r="K40">
        <v>583</v>
      </c>
      <c r="L40" t="str">
        <f>VLOOKUP(H40,Descriptions!A:B, 2, FALSE)</f>
        <v>Seating Cat. 1</v>
      </c>
      <c r="M40">
        <f t="shared" ca="1" si="1"/>
        <v>-2249</v>
      </c>
      <c r="O40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17-SC1Bea-Ham21/8</v>
      </c>
    </row>
    <row r="41" spans="1:15" x14ac:dyDescent="0.35">
      <c r="A41" t="s">
        <v>7</v>
      </c>
      <c r="B41" t="s">
        <v>53</v>
      </c>
      <c r="C41" s="1">
        <v>42968</v>
      </c>
      <c r="D41" t="s">
        <v>3</v>
      </c>
      <c r="E41" s="7">
        <v>111</v>
      </c>
      <c r="F41" s="7">
        <f>IFERROR(VLOOKUP(E41,Margins!$A:$B,2,TRUE),"")</f>
        <v>0.15</v>
      </c>
      <c r="G41" s="7">
        <f t="shared" si="0"/>
        <v>8025.2999999999993</v>
      </c>
      <c r="H41" t="s">
        <v>63</v>
      </c>
      <c r="I41">
        <v>482</v>
      </c>
      <c r="J41">
        <f>IF(Table1[[#This Row],[Tickets Sold]]&gt;500,8,5)</f>
        <v>5</v>
      </c>
      <c r="K41">
        <v>261</v>
      </c>
      <c r="L41" t="str">
        <f>VLOOKUP(H41,Descriptions!A:B, 2, FALSE)</f>
        <v>Seating Cat. 2</v>
      </c>
      <c r="M41">
        <f t="shared" ca="1" si="1"/>
        <v>-2249</v>
      </c>
      <c r="O41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17-SC2Bea-Ham21/8</v>
      </c>
    </row>
    <row r="42" spans="1:15" x14ac:dyDescent="0.35">
      <c r="A42" t="s">
        <v>7</v>
      </c>
      <c r="B42" t="s">
        <v>53</v>
      </c>
      <c r="C42" s="1">
        <v>42968</v>
      </c>
      <c r="D42" t="s">
        <v>3</v>
      </c>
      <c r="E42" s="7">
        <v>221</v>
      </c>
      <c r="F42" s="7">
        <f>IFERROR(VLOOKUP(E42,Margins!$A:$B,2,TRUE),"")</f>
        <v>0.25</v>
      </c>
      <c r="G42" s="7">
        <f t="shared" si="0"/>
        <v>16575</v>
      </c>
      <c r="H42" t="s">
        <v>65</v>
      </c>
      <c r="I42">
        <v>300</v>
      </c>
      <c r="J42">
        <f>IF(Table1[[#This Row],[Tickets Sold]]&gt;500,8,5)</f>
        <v>5</v>
      </c>
      <c r="K42">
        <v>246</v>
      </c>
      <c r="L42" t="str">
        <f>VLOOKUP(H42,Descriptions!A:B, 2, FALSE)</f>
        <v>Ticket + Air travel Package</v>
      </c>
      <c r="M42">
        <f t="shared" ca="1" si="1"/>
        <v>-2249</v>
      </c>
      <c r="O42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17-TA1Bea-Ham21/8</v>
      </c>
    </row>
    <row r="43" spans="1:15" x14ac:dyDescent="0.35">
      <c r="A43" t="s">
        <v>7</v>
      </c>
      <c r="B43" t="s">
        <v>53</v>
      </c>
      <c r="C43" s="1">
        <v>42968</v>
      </c>
      <c r="D43" t="s">
        <v>3</v>
      </c>
      <c r="E43" s="7">
        <v>327</v>
      </c>
      <c r="F43" s="7">
        <f>IFERROR(VLOOKUP(E43,Margins!$A:$B,2,TRUE),"")</f>
        <v>0.25</v>
      </c>
      <c r="G43" s="7">
        <f t="shared" si="0"/>
        <v>24525</v>
      </c>
      <c r="H43" t="s">
        <v>66</v>
      </c>
      <c r="I43">
        <v>300</v>
      </c>
      <c r="J43">
        <f>IF(Table1[[#This Row],[Tickets Sold]]&gt;500,8,5)</f>
        <v>5</v>
      </c>
      <c r="K43">
        <v>150</v>
      </c>
      <c r="L43" t="str">
        <f>VLOOKUP(H43,Descriptions!A:B, 2, FALSE)</f>
        <v>Ticket + Air travel + Hotel Package</v>
      </c>
      <c r="M43">
        <f t="shared" ca="1" si="1"/>
        <v>-2249</v>
      </c>
      <c r="O43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17-TA2Bea-Ham21/8</v>
      </c>
    </row>
    <row r="44" spans="1:15" x14ac:dyDescent="0.35">
      <c r="A44" t="s">
        <v>7</v>
      </c>
      <c r="B44" t="s">
        <v>50</v>
      </c>
      <c r="C44" s="1">
        <v>42970</v>
      </c>
      <c r="D44" t="s">
        <v>3</v>
      </c>
      <c r="E44" s="7">
        <v>52</v>
      </c>
      <c r="F44" s="7">
        <f>IFERROR(VLOOKUP(E44,Margins!$A:$B,2,TRUE),"")</f>
        <v>0.1</v>
      </c>
      <c r="G44" s="7">
        <f t="shared" si="0"/>
        <v>4056</v>
      </c>
      <c r="H44" t="s">
        <v>62</v>
      </c>
      <c r="I44">
        <v>780</v>
      </c>
      <c r="J44">
        <f>IF(Table1[[#This Row],[Tickets Sold]]&gt;500,8,5)</f>
        <v>5</v>
      </c>
      <c r="K44">
        <v>445</v>
      </c>
      <c r="L44" t="str">
        <f>VLOOKUP(H44,Descriptions!A:B, 2, FALSE)</f>
        <v>Seating Cat. 1</v>
      </c>
      <c r="M44">
        <f t="shared" ca="1" si="1"/>
        <v>-2248</v>
      </c>
      <c r="O44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17-SC1Bea-Lyo23/8</v>
      </c>
    </row>
    <row r="45" spans="1:15" x14ac:dyDescent="0.35">
      <c r="A45" t="s">
        <v>7</v>
      </c>
      <c r="B45" t="s">
        <v>50</v>
      </c>
      <c r="C45" s="1">
        <v>42970</v>
      </c>
      <c r="D45" t="s">
        <v>3</v>
      </c>
      <c r="E45" s="7">
        <v>102</v>
      </c>
      <c r="F45" s="7">
        <f>IFERROR(VLOOKUP(E45,Margins!$A:$B,2,TRUE),"")</f>
        <v>0.15</v>
      </c>
      <c r="G45" s="7">
        <f t="shared" si="0"/>
        <v>6471.9</v>
      </c>
      <c r="H45" t="s">
        <v>63</v>
      </c>
      <c r="I45">
        <v>423</v>
      </c>
      <c r="J45">
        <f>IF(Table1[[#This Row],[Tickets Sold]]&gt;500,8,5)</f>
        <v>5</v>
      </c>
      <c r="K45">
        <v>318</v>
      </c>
      <c r="L45" t="str">
        <f>VLOOKUP(H45,Descriptions!A:B, 2, FALSE)</f>
        <v>Seating Cat. 2</v>
      </c>
      <c r="M45">
        <f t="shared" ca="1" si="1"/>
        <v>-2248</v>
      </c>
      <c r="O45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17-SC2Bea-Lyo23/8</v>
      </c>
    </row>
    <row r="46" spans="1:15" x14ac:dyDescent="0.35">
      <c r="A46" t="s">
        <v>7</v>
      </c>
      <c r="B46" t="s">
        <v>50</v>
      </c>
      <c r="C46" s="1">
        <v>42970</v>
      </c>
      <c r="D46" t="s">
        <v>3</v>
      </c>
      <c r="E46" s="7">
        <v>18</v>
      </c>
      <c r="F46" s="7">
        <f>IFERROR(VLOOKUP(E46,Margins!$A:$B,2,TRUE),"")</f>
        <v>7.0000000000000007E-2</v>
      </c>
      <c r="G46" s="7">
        <f t="shared" si="0"/>
        <v>88.200000000000017</v>
      </c>
      <c r="H46" t="s">
        <v>11</v>
      </c>
      <c r="I46">
        <v>70</v>
      </c>
      <c r="J46">
        <f>IF(Table1[[#This Row],[Tickets Sold]]&gt;500,8,5)</f>
        <v>5</v>
      </c>
      <c r="K46">
        <v>40</v>
      </c>
      <c r="L46" t="str">
        <f>VLOOKUP(H46,Descriptions!A:B, 2, FALSE)</f>
        <v>Parking place</v>
      </c>
      <c r="M46">
        <f t="shared" ca="1" si="1"/>
        <v>-2248</v>
      </c>
      <c r="O46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17-POSBea-Lyo23/8</v>
      </c>
    </row>
    <row r="47" spans="1:15" x14ac:dyDescent="0.35">
      <c r="A47" t="s">
        <v>7</v>
      </c>
      <c r="B47" t="s">
        <v>50</v>
      </c>
      <c r="C47" s="1">
        <v>42970</v>
      </c>
      <c r="D47" t="s">
        <v>3</v>
      </c>
      <c r="E47" s="7">
        <v>285</v>
      </c>
      <c r="F47" s="7">
        <f>IFERROR(VLOOKUP(E47,Margins!$A:$B,2,TRUE),"")</f>
        <v>0.25</v>
      </c>
      <c r="G47" s="7">
        <f t="shared" si="0"/>
        <v>28500</v>
      </c>
      <c r="H47" t="s">
        <v>65</v>
      </c>
      <c r="I47">
        <v>400</v>
      </c>
      <c r="J47">
        <f>IF(Table1[[#This Row],[Tickets Sold]]&gt;500,8,5)</f>
        <v>5</v>
      </c>
      <c r="K47">
        <v>356</v>
      </c>
      <c r="L47" t="str">
        <f>VLOOKUP(H47,Descriptions!A:B, 2, FALSE)</f>
        <v>Ticket + Air travel Package</v>
      </c>
      <c r="M47">
        <f t="shared" ca="1" si="1"/>
        <v>-2248</v>
      </c>
      <c r="O47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17-TA1Bea-Lyo23/8</v>
      </c>
    </row>
    <row r="48" spans="1:15" x14ac:dyDescent="0.35">
      <c r="A48" t="s">
        <v>7</v>
      </c>
      <c r="B48" t="s">
        <v>50</v>
      </c>
      <c r="C48" s="1">
        <v>42970</v>
      </c>
      <c r="D48" t="s">
        <v>3</v>
      </c>
      <c r="E48" s="7">
        <v>365</v>
      </c>
      <c r="F48" s="7">
        <f>IFERROR(VLOOKUP(E48,Margins!$A:$B,2,TRUE),"")</f>
        <v>0.25</v>
      </c>
      <c r="G48" s="7">
        <f t="shared" si="0"/>
        <v>27375</v>
      </c>
      <c r="H48" t="s">
        <v>66</v>
      </c>
      <c r="I48">
        <v>300</v>
      </c>
      <c r="J48">
        <f>IF(Table1[[#This Row],[Tickets Sold]]&gt;500,8,5)</f>
        <v>5</v>
      </c>
      <c r="K48">
        <v>210</v>
      </c>
      <c r="L48" t="str">
        <f>VLOOKUP(H48,Descriptions!A:B, 2, FALSE)</f>
        <v>Ticket + Air travel + Hotel Package</v>
      </c>
      <c r="M48">
        <f t="shared" ca="1" si="1"/>
        <v>-2248</v>
      </c>
      <c r="O48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17-TA2Bea-Lyo23/8</v>
      </c>
    </row>
    <row r="49" spans="1:15" x14ac:dyDescent="0.35">
      <c r="A49" t="s">
        <v>36</v>
      </c>
      <c r="B49" t="s">
        <v>51</v>
      </c>
      <c r="C49" s="1">
        <v>42953</v>
      </c>
      <c r="D49" t="s">
        <v>79</v>
      </c>
      <c r="E49" s="7">
        <v>45</v>
      </c>
      <c r="F49" s="7">
        <f>IFERROR(VLOOKUP(E49,Margins!$A:$B,2,TRUE),"")</f>
        <v>7.0000000000000007E-2</v>
      </c>
      <c r="G49" s="7">
        <f t="shared" si="0"/>
        <v>22642.200000000004</v>
      </c>
      <c r="H49" t="s">
        <v>68</v>
      </c>
      <c r="I49">
        <v>7188</v>
      </c>
      <c r="J49">
        <f>IF(Table1[[#This Row],[Tickets Sold]]&gt;500,8,5)</f>
        <v>8</v>
      </c>
      <c r="K49">
        <v>6254</v>
      </c>
      <c r="L49" t="str">
        <f>VLOOKUP(H49,Descriptions!A:B, 2, FALSE)</f>
        <v>General Admission (1 day)</v>
      </c>
      <c r="M49">
        <f t="shared" ca="1" si="1"/>
        <v>-2259</v>
      </c>
      <c r="O49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17-GA1Cor-Bar6/8</v>
      </c>
    </row>
    <row r="50" spans="1:15" x14ac:dyDescent="0.35">
      <c r="A50" t="s">
        <v>36</v>
      </c>
      <c r="B50" t="s">
        <v>51</v>
      </c>
      <c r="C50" s="1">
        <v>42953</v>
      </c>
      <c r="D50" t="s">
        <v>79</v>
      </c>
      <c r="E50" s="7">
        <v>37</v>
      </c>
      <c r="F50" s="7">
        <f>IFERROR(VLOOKUP(E50,Margins!$A:$B,2,TRUE),"")</f>
        <v>7.0000000000000007E-2</v>
      </c>
      <c r="G50" s="7">
        <f t="shared" si="0"/>
        <v>5112.6600000000008</v>
      </c>
      <c r="H50" t="s">
        <v>62</v>
      </c>
      <c r="I50">
        <v>1974</v>
      </c>
      <c r="J50">
        <f>IF(Table1[[#This Row],[Tickets Sold]]&gt;500,8,5)</f>
        <v>8</v>
      </c>
      <c r="K50">
        <v>1343</v>
      </c>
      <c r="L50" t="str">
        <f>VLOOKUP(H50,Descriptions!A:B, 2, FALSE)</f>
        <v>Seating Cat. 1</v>
      </c>
      <c r="M50">
        <f t="shared" ca="1" si="1"/>
        <v>-2259</v>
      </c>
      <c r="O50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17-SC1Cor-Bar6/8</v>
      </c>
    </row>
    <row r="51" spans="1:15" x14ac:dyDescent="0.35">
      <c r="A51" t="s">
        <v>36</v>
      </c>
      <c r="B51" t="s">
        <v>51</v>
      </c>
      <c r="C51" s="1">
        <v>42953</v>
      </c>
      <c r="D51" t="s">
        <v>79</v>
      </c>
      <c r="E51" s="7">
        <v>194</v>
      </c>
      <c r="F51" s="7">
        <f>IFERROR(VLOOKUP(E51,Margins!$A:$B,2,TRUE),"")</f>
        <v>0.15</v>
      </c>
      <c r="G51" s="7">
        <f t="shared" si="0"/>
        <v>5820</v>
      </c>
      <c r="H51" t="s">
        <v>65</v>
      </c>
      <c r="I51">
        <v>200</v>
      </c>
      <c r="J51">
        <f>IF(Table1[[#This Row],[Tickets Sold]]&gt;500,8,5)</f>
        <v>5</v>
      </c>
      <c r="K51">
        <v>112</v>
      </c>
      <c r="L51" t="str">
        <f>VLOOKUP(H51,Descriptions!A:B, 2, FALSE)</f>
        <v>Ticket + Air travel Package</v>
      </c>
      <c r="M51">
        <f t="shared" ca="1" si="1"/>
        <v>-2259</v>
      </c>
      <c r="O51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17-TA1Cor-Bar6/8</v>
      </c>
    </row>
    <row r="52" spans="1:15" x14ac:dyDescent="0.35">
      <c r="A52" t="s">
        <v>36</v>
      </c>
      <c r="B52" t="s">
        <v>51</v>
      </c>
      <c r="C52" s="1">
        <v>42953</v>
      </c>
      <c r="D52" t="s">
        <v>79</v>
      </c>
      <c r="E52" s="7">
        <v>348</v>
      </c>
      <c r="F52" s="7">
        <f>IFERROR(VLOOKUP(E52,Margins!$A:$B,2,TRUE),"")</f>
        <v>0.25</v>
      </c>
      <c r="G52" s="7">
        <f t="shared" si="0"/>
        <v>26100</v>
      </c>
      <c r="H52" t="s">
        <v>66</v>
      </c>
      <c r="I52">
        <v>300</v>
      </c>
      <c r="J52">
        <f>IF(Table1[[#This Row],[Tickets Sold]]&gt;500,8,5)</f>
        <v>5</v>
      </c>
      <c r="K52">
        <v>258</v>
      </c>
      <c r="L52" t="str">
        <f>VLOOKUP(H52,Descriptions!A:B, 2, FALSE)</f>
        <v>Ticket + Air travel + Hotel Package</v>
      </c>
      <c r="M52">
        <f t="shared" ca="1" si="1"/>
        <v>-2259</v>
      </c>
      <c r="O52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17-TA2Cor-Bar6/8</v>
      </c>
    </row>
    <row r="53" spans="1:15" x14ac:dyDescent="0.35">
      <c r="A53" t="s">
        <v>37</v>
      </c>
      <c r="B53" t="s">
        <v>53</v>
      </c>
      <c r="C53" s="1">
        <v>42945</v>
      </c>
      <c r="D53" t="s">
        <v>79</v>
      </c>
      <c r="E53" s="7">
        <v>71</v>
      </c>
      <c r="F53" s="7">
        <f>IFERROR(VLOOKUP(E53,Margins!$A:$B,2,TRUE),"")</f>
        <v>0.1</v>
      </c>
      <c r="G53" s="7">
        <f t="shared" si="0"/>
        <v>95693.8</v>
      </c>
      <c r="H53" t="s">
        <v>68</v>
      </c>
      <c r="I53">
        <v>13478</v>
      </c>
      <c r="J53">
        <f>IF(Table1[[#This Row],[Tickets Sold]]&gt;500,8,5)</f>
        <v>8</v>
      </c>
      <c r="K53">
        <v>8222</v>
      </c>
      <c r="L53" t="str">
        <f>VLOOKUP(H53,Descriptions!A:B, 2, FALSE)</f>
        <v>General Admission (1 day)</v>
      </c>
      <c r="M53">
        <f t="shared" ca="1" si="1"/>
        <v>-2265</v>
      </c>
      <c r="O53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17-GA1Cor-Ham29/7</v>
      </c>
    </row>
    <row r="54" spans="1:15" x14ac:dyDescent="0.35">
      <c r="A54" t="s">
        <v>37</v>
      </c>
      <c r="B54" t="s">
        <v>53</v>
      </c>
      <c r="C54" s="1">
        <v>42945</v>
      </c>
      <c r="D54" t="s">
        <v>79</v>
      </c>
      <c r="E54" s="7">
        <v>70</v>
      </c>
      <c r="F54" s="7">
        <f>IFERROR(VLOOKUP(E54,Margins!$A:$B,2,TRUE),"")</f>
        <v>0.1</v>
      </c>
      <c r="G54" s="7">
        <f t="shared" si="0"/>
        <v>5194</v>
      </c>
      <c r="H54" t="s">
        <v>62</v>
      </c>
      <c r="I54">
        <v>742</v>
      </c>
      <c r="J54">
        <f>IF(Table1[[#This Row],[Tickets Sold]]&gt;500,8,5)</f>
        <v>5</v>
      </c>
      <c r="K54">
        <v>416</v>
      </c>
      <c r="L54" t="str">
        <f>VLOOKUP(H54,Descriptions!A:B, 2, FALSE)</f>
        <v>Seating Cat. 1</v>
      </c>
      <c r="M54">
        <f t="shared" ca="1" si="1"/>
        <v>-2265</v>
      </c>
      <c r="O54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17-SC1Cor-Ham29/7</v>
      </c>
    </row>
    <row r="55" spans="1:15" x14ac:dyDescent="0.35">
      <c r="A55" t="s">
        <v>37</v>
      </c>
      <c r="B55" t="s">
        <v>53</v>
      </c>
      <c r="C55" s="1">
        <v>42945</v>
      </c>
      <c r="D55" t="s">
        <v>79</v>
      </c>
      <c r="E55" s="7">
        <v>241</v>
      </c>
      <c r="F55" s="7">
        <f>IFERROR(VLOOKUP(E55,Margins!$A:$B,2,TRUE),"")</f>
        <v>0.25</v>
      </c>
      <c r="G55" s="7">
        <f t="shared" si="0"/>
        <v>18075</v>
      </c>
      <c r="H55" t="s">
        <v>65</v>
      </c>
      <c r="I55">
        <v>300</v>
      </c>
      <c r="J55">
        <f>IF(Table1[[#This Row],[Tickets Sold]]&gt;500,8,5)</f>
        <v>5</v>
      </c>
      <c r="K55">
        <v>279</v>
      </c>
      <c r="L55" t="str">
        <f>VLOOKUP(H55,Descriptions!A:B, 2, FALSE)</f>
        <v>Ticket + Air travel Package</v>
      </c>
      <c r="M55">
        <f t="shared" ca="1" si="1"/>
        <v>-2265</v>
      </c>
      <c r="O55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17-TA1Cor-Ham29/7</v>
      </c>
    </row>
    <row r="56" spans="1:15" x14ac:dyDescent="0.35">
      <c r="A56" t="s">
        <v>37</v>
      </c>
      <c r="B56" t="s">
        <v>53</v>
      </c>
      <c r="C56" s="1">
        <v>42945</v>
      </c>
      <c r="D56" t="s">
        <v>79</v>
      </c>
      <c r="E56" s="7">
        <v>315</v>
      </c>
      <c r="F56" s="7">
        <f>IFERROR(VLOOKUP(E56,Margins!$A:$B,2,TRUE),"")</f>
        <v>0.25</v>
      </c>
      <c r="G56" s="7">
        <f t="shared" si="0"/>
        <v>31500</v>
      </c>
      <c r="H56" t="s">
        <v>66</v>
      </c>
      <c r="I56">
        <v>400</v>
      </c>
      <c r="J56">
        <f>IF(Table1[[#This Row],[Tickets Sold]]&gt;500,8,5)</f>
        <v>5</v>
      </c>
      <c r="K56">
        <v>220</v>
      </c>
      <c r="L56" t="str">
        <f>VLOOKUP(H56,Descriptions!A:B, 2, FALSE)</f>
        <v>Ticket + Air travel + Hotel Package</v>
      </c>
      <c r="M56">
        <f t="shared" ca="1" si="1"/>
        <v>-2265</v>
      </c>
      <c r="O56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17-TA2Cor-Ham29/7</v>
      </c>
    </row>
    <row r="57" spans="1:15" x14ac:dyDescent="0.35">
      <c r="A57" t="s">
        <v>37</v>
      </c>
      <c r="B57" t="s">
        <v>2</v>
      </c>
      <c r="C57" s="1">
        <v>42948</v>
      </c>
      <c r="D57" t="s">
        <v>79</v>
      </c>
      <c r="E57" s="7">
        <v>46</v>
      </c>
      <c r="F57" s="7">
        <f>IFERROR(VLOOKUP(E57,Margins!$A:$B,2,TRUE),"")</f>
        <v>7.0000000000000007E-2</v>
      </c>
      <c r="G57" s="7">
        <f t="shared" si="0"/>
        <v>30966.74</v>
      </c>
      <c r="H57" t="s">
        <v>68</v>
      </c>
      <c r="I57">
        <v>9617</v>
      </c>
      <c r="J57">
        <f>IF(Table1[[#This Row],[Tickets Sold]]&gt;500,8,5)</f>
        <v>8</v>
      </c>
      <c r="K57">
        <v>7502</v>
      </c>
      <c r="L57" t="str">
        <f>VLOOKUP(H57,Descriptions!A:B, 2, FALSE)</f>
        <v>General Admission (1 day)</v>
      </c>
      <c r="M57">
        <f t="shared" ca="1" si="1"/>
        <v>-2264</v>
      </c>
      <c r="O57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17-GA1Cor-Vie1/8</v>
      </c>
    </row>
    <row r="58" spans="1:15" x14ac:dyDescent="0.35">
      <c r="A58" t="s">
        <v>37</v>
      </c>
      <c r="B58" t="s">
        <v>2</v>
      </c>
      <c r="C58" s="1">
        <v>42948</v>
      </c>
      <c r="D58" t="s">
        <v>79</v>
      </c>
      <c r="E58" s="7">
        <v>72</v>
      </c>
      <c r="F58" s="7">
        <f>IFERROR(VLOOKUP(E58,Margins!$A:$B,2,TRUE),"")</f>
        <v>0.1</v>
      </c>
      <c r="G58" s="7">
        <f t="shared" si="0"/>
        <v>4917.6000000000004</v>
      </c>
      <c r="H58" t="s">
        <v>62</v>
      </c>
      <c r="I58">
        <v>683</v>
      </c>
      <c r="J58">
        <f>IF(Table1[[#This Row],[Tickets Sold]]&gt;500,8,5)</f>
        <v>5</v>
      </c>
      <c r="K58">
        <v>485</v>
      </c>
      <c r="L58" t="str">
        <f>VLOOKUP(H58,Descriptions!A:B, 2, FALSE)</f>
        <v>Seating Cat. 1</v>
      </c>
      <c r="M58">
        <f t="shared" ca="1" si="1"/>
        <v>-2264</v>
      </c>
      <c r="O58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17-SC1Cor-Vie1/8</v>
      </c>
    </row>
    <row r="59" spans="1:15" x14ac:dyDescent="0.35">
      <c r="A59" t="s">
        <v>37</v>
      </c>
      <c r="B59" t="s">
        <v>2</v>
      </c>
      <c r="C59" s="1">
        <v>42948</v>
      </c>
      <c r="D59" t="s">
        <v>79</v>
      </c>
      <c r="E59" s="7">
        <v>268</v>
      </c>
      <c r="F59" s="7">
        <f>IFERROR(VLOOKUP(E59,Margins!$A:$B,2,TRUE),"")</f>
        <v>0.25</v>
      </c>
      <c r="G59" s="7">
        <f t="shared" si="0"/>
        <v>20100</v>
      </c>
      <c r="H59" t="s">
        <v>65</v>
      </c>
      <c r="I59">
        <v>300</v>
      </c>
      <c r="J59">
        <f>IF(Table1[[#This Row],[Tickets Sold]]&gt;500,8,5)</f>
        <v>5</v>
      </c>
      <c r="K59">
        <v>240</v>
      </c>
      <c r="L59" t="str">
        <f>VLOOKUP(H59,Descriptions!A:B, 2, FALSE)</f>
        <v>Ticket + Air travel Package</v>
      </c>
      <c r="M59">
        <f t="shared" ca="1" si="1"/>
        <v>-2264</v>
      </c>
      <c r="O59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17-TA1Cor-Vie1/8</v>
      </c>
    </row>
    <row r="60" spans="1:15" x14ac:dyDescent="0.35">
      <c r="A60" t="s">
        <v>37</v>
      </c>
      <c r="B60" t="s">
        <v>2</v>
      </c>
      <c r="C60" s="1">
        <v>42948</v>
      </c>
      <c r="D60" t="s">
        <v>79</v>
      </c>
      <c r="E60" s="7">
        <v>310</v>
      </c>
      <c r="F60" s="7">
        <f>IFERROR(VLOOKUP(E60,Margins!$A:$B,2,TRUE),"")</f>
        <v>0.25</v>
      </c>
      <c r="G60" s="7">
        <f t="shared" si="0"/>
        <v>15500</v>
      </c>
      <c r="H60" t="s">
        <v>66</v>
      </c>
      <c r="I60">
        <v>200</v>
      </c>
      <c r="J60">
        <f>IF(Table1[[#This Row],[Tickets Sold]]&gt;500,8,5)</f>
        <v>5</v>
      </c>
      <c r="K60">
        <v>170</v>
      </c>
      <c r="L60" t="str">
        <f>VLOOKUP(H60,Descriptions!A:B, 2, FALSE)</f>
        <v>Ticket + Air travel + Hotel Package</v>
      </c>
      <c r="M60">
        <f t="shared" ca="1" si="1"/>
        <v>-2264</v>
      </c>
      <c r="O60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17-TA2Cor-Vie1/8</v>
      </c>
    </row>
    <row r="61" spans="1:15" x14ac:dyDescent="0.35">
      <c r="A61" t="s">
        <v>21</v>
      </c>
      <c r="B61" t="s">
        <v>54</v>
      </c>
      <c r="C61" s="1">
        <v>42888</v>
      </c>
      <c r="D61" t="s">
        <v>20</v>
      </c>
      <c r="E61" s="7">
        <v>45</v>
      </c>
      <c r="F61" s="7">
        <f>IFERROR(VLOOKUP(E61,Margins!$A:$B,2,TRUE),"")</f>
        <v>7.0000000000000007E-2</v>
      </c>
      <c r="G61" s="7">
        <f t="shared" si="0"/>
        <v>9261.0000000000018</v>
      </c>
      <c r="H61" t="s">
        <v>62</v>
      </c>
      <c r="I61">
        <v>2940</v>
      </c>
      <c r="J61">
        <f>IF(Table1[[#This Row],[Tickets Sold]]&gt;500,8,5)</f>
        <v>8</v>
      </c>
      <c r="K61">
        <v>2558</v>
      </c>
      <c r="L61" t="str">
        <f>VLOOKUP(H61,Descriptions!A:B, 2, FALSE)</f>
        <v>Seating Cat. 1</v>
      </c>
      <c r="M61">
        <f t="shared" ca="1" si="1"/>
        <v>-2306</v>
      </c>
      <c r="O61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17-SC1Die-Ber2/6</v>
      </c>
    </row>
    <row r="62" spans="1:15" x14ac:dyDescent="0.35">
      <c r="A62" t="s">
        <v>21</v>
      </c>
      <c r="B62" t="s">
        <v>54</v>
      </c>
      <c r="C62" s="1">
        <v>42888</v>
      </c>
      <c r="D62" t="s">
        <v>20</v>
      </c>
      <c r="E62" s="7">
        <v>114</v>
      </c>
      <c r="F62" s="7">
        <f>IFERROR(VLOOKUP(E62,Margins!$A:$B,2,TRUE),"")</f>
        <v>0.15</v>
      </c>
      <c r="G62" s="7">
        <f t="shared" si="0"/>
        <v>14962.499999999998</v>
      </c>
      <c r="H62" t="s">
        <v>63</v>
      </c>
      <c r="I62">
        <v>875</v>
      </c>
      <c r="J62">
        <f>IF(Table1[[#This Row],[Tickets Sold]]&gt;500,8,5)</f>
        <v>8</v>
      </c>
      <c r="K62">
        <v>779</v>
      </c>
      <c r="L62" t="str">
        <f>VLOOKUP(H62,Descriptions!A:B, 2, FALSE)</f>
        <v>Seating Cat. 2</v>
      </c>
      <c r="M62">
        <f t="shared" ca="1" si="1"/>
        <v>-2306</v>
      </c>
      <c r="O62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17-SC2Die-Ber2/6</v>
      </c>
    </row>
    <row r="63" spans="1:15" x14ac:dyDescent="0.35">
      <c r="A63" t="s">
        <v>21</v>
      </c>
      <c r="B63" t="s">
        <v>54</v>
      </c>
      <c r="C63" s="1">
        <v>42888</v>
      </c>
      <c r="D63" t="s">
        <v>20</v>
      </c>
      <c r="E63" s="7">
        <v>224</v>
      </c>
      <c r="F63" s="7">
        <f>IFERROR(VLOOKUP(E63,Margins!$A:$B,2,TRUE),"")</f>
        <v>0.25</v>
      </c>
      <c r="G63" s="7">
        <f t="shared" si="0"/>
        <v>22400</v>
      </c>
      <c r="H63" t="s">
        <v>65</v>
      </c>
      <c r="I63">
        <v>400</v>
      </c>
      <c r="J63">
        <f>IF(Table1[[#This Row],[Tickets Sold]]&gt;500,8,5)</f>
        <v>5</v>
      </c>
      <c r="K63">
        <v>232</v>
      </c>
      <c r="L63" t="str">
        <f>VLOOKUP(H63,Descriptions!A:B, 2, FALSE)</f>
        <v>Ticket + Air travel Package</v>
      </c>
      <c r="M63">
        <f t="shared" ca="1" si="1"/>
        <v>-2306</v>
      </c>
      <c r="O63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17-TA1Die-Ber2/6</v>
      </c>
    </row>
    <row r="64" spans="1:15" x14ac:dyDescent="0.35">
      <c r="A64" t="s">
        <v>21</v>
      </c>
      <c r="B64" t="s">
        <v>54</v>
      </c>
      <c r="C64" s="1">
        <v>42888</v>
      </c>
      <c r="D64" t="s">
        <v>20</v>
      </c>
      <c r="E64" s="7">
        <v>380</v>
      </c>
      <c r="F64" s="7">
        <f>IFERROR(VLOOKUP(E64,Margins!$A:$B,2,TRUE),"")</f>
        <v>0.25</v>
      </c>
      <c r="G64" s="7">
        <f t="shared" si="0"/>
        <v>28500</v>
      </c>
      <c r="H64" t="s">
        <v>66</v>
      </c>
      <c r="I64">
        <v>300</v>
      </c>
      <c r="J64">
        <f>IF(Table1[[#This Row],[Tickets Sold]]&gt;500,8,5)</f>
        <v>5</v>
      </c>
      <c r="K64">
        <v>153</v>
      </c>
      <c r="L64" t="str">
        <f>VLOOKUP(H64,Descriptions!A:B, 2, FALSE)</f>
        <v>Ticket + Air travel + Hotel Package</v>
      </c>
      <c r="M64">
        <f t="shared" ca="1" si="1"/>
        <v>-2306</v>
      </c>
      <c r="O64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17-TA2Die-Ber2/6</v>
      </c>
    </row>
    <row r="65" spans="1:15" x14ac:dyDescent="0.35">
      <c r="A65" t="s">
        <v>21</v>
      </c>
      <c r="B65" t="s">
        <v>53</v>
      </c>
      <c r="C65" s="1">
        <v>42917</v>
      </c>
      <c r="D65" t="s">
        <v>20</v>
      </c>
      <c r="E65" s="7">
        <v>52</v>
      </c>
      <c r="F65" s="7">
        <f>IFERROR(VLOOKUP(E65,Margins!$A:$B,2,TRUE),"")</f>
        <v>0.1</v>
      </c>
      <c r="G65" s="7">
        <f t="shared" si="0"/>
        <v>9672</v>
      </c>
      <c r="H65" t="s">
        <v>62</v>
      </c>
      <c r="I65">
        <v>1860</v>
      </c>
      <c r="J65">
        <f>IF(Table1[[#This Row],[Tickets Sold]]&gt;500,8,5)</f>
        <v>8</v>
      </c>
      <c r="K65">
        <v>1433</v>
      </c>
      <c r="L65" t="str">
        <f>VLOOKUP(H65,Descriptions!A:B, 2, FALSE)</f>
        <v>Seating Cat. 1</v>
      </c>
      <c r="M65">
        <f t="shared" ca="1" si="1"/>
        <v>-2285</v>
      </c>
      <c r="O65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17-SC1Die-Ham1/7</v>
      </c>
    </row>
    <row r="66" spans="1:15" x14ac:dyDescent="0.35">
      <c r="A66" t="s">
        <v>21</v>
      </c>
      <c r="B66" t="s">
        <v>53</v>
      </c>
      <c r="C66" s="1">
        <v>42917</v>
      </c>
      <c r="D66" t="s">
        <v>20</v>
      </c>
      <c r="E66" s="7">
        <v>74</v>
      </c>
      <c r="F66" s="7">
        <f>IFERROR(VLOOKUP(E66,Margins!$A:$B,2,TRUE),"")</f>
        <v>0.1</v>
      </c>
      <c r="G66" s="7">
        <f t="shared" ref="G66:G129" si="2">IFERROR(E66*F66*I66,"")</f>
        <v>8880</v>
      </c>
      <c r="H66" t="s">
        <v>63</v>
      </c>
      <c r="I66">
        <v>1200</v>
      </c>
      <c r="J66">
        <f>IF(Table1[[#This Row],[Tickets Sold]]&gt;500,8,5)</f>
        <v>8</v>
      </c>
      <c r="K66">
        <v>936</v>
      </c>
      <c r="L66" t="str">
        <f>VLOOKUP(H66,Descriptions!A:B, 2, FALSE)</f>
        <v>Seating Cat. 2</v>
      </c>
      <c r="M66">
        <f t="shared" ref="M66:M129" ca="1" si="3">NETWORKDAYS(TODAY(), C66-1)</f>
        <v>-2285</v>
      </c>
      <c r="O66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17-SC2Die-Ham1/7</v>
      </c>
    </row>
    <row r="67" spans="1:15" x14ac:dyDescent="0.35">
      <c r="A67" t="s">
        <v>21</v>
      </c>
      <c r="B67" t="s">
        <v>53</v>
      </c>
      <c r="C67" s="1">
        <v>42917</v>
      </c>
      <c r="D67" t="s">
        <v>20</v>
      </c>
      <c r="E67" s="7">
        <v>189</v>
      </c>
      <c r="F67" s="7">
        <f>IFERROR(VLOOKUP(E67,Margins!$A:$B,2,TRUE),"")</f>
        <v>0.15</v>
      </c>
      <c r="G67" s="7">
        <f t="shared" si="2"/>
        <v>8505</v>
      </c>
      <c r="H67" t="s">
        <v>65</v>
      </c>
      <c r="I67">
        <v>300</v>
      </c>
      <c r="J67">
        <f>IF(Table1[[#This Row],[Tickets Sold]]&gt;500,8,5)</f>
        <v>5</v>
      </c>
      <c r="K67">
        <v>249</v>
      </c>
      <c r="L67" t="str">
        <f>VLOOKUP(H67,Descriptions!A:B, 2, FALSE)</f>
        <v>Ticket + Air travel Package</v>
      </c>
      <c r="M67">
        <f t="shared" ca="1" si="3"/>
        <v>-2285</v>
      </c>
      <c r="O67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17-TA1Die-Ham1/7</v>
      </c>
    </row>
    <row r="68" spans="1:15" x14ac:dyDescent="0.35">
      <c r="A68" t="s">
        <v>21</v>
      </c>
      <c r="B68" t="s">
        <v>53</v>
      </c>
      <c r="C68" s="1">
        <v>42917</v>
      </c>
      <c r="D68" t="s">
        <v>20</v>
      </c>
      <c r="E68" s="7">
        <v>398</v>
      </c>
      <c r="F68" s="7">
        <f>IFERROR(VLOOKUP(E68,Margins!$A:$B,2,TRUE),"")</f>
        <v>0.25</v>
      </c>
      <c r="G68" s="7">
        <f t="shared" si="2"/>
        <v>39800</v>
      </c>
      <c r="H68" t="s">
        <v>66</v>
      </c>
      <c r="I68">
        <v>400</v>
      </c>
      <c r="J68">
        <f>IF(Table1[[#This Row],[Tickets Sold]]&gt;500,8,5)</f>
        <v>5</v>
      </c>
      <c r="K68">
        <v>200</v>
      </c>
      <c r="L68" t="str">
        <f>VLOOKUP(H68,Descriptions!A:B, 2, FALSE)</f>
        <v>Ticket + Air travel + Hotel Package</v>
      </c>
      <c r="M68">
        <f t="shared" ca="1" si="3"/>
        <v>-2285</v>
      </c>
      <c r="O68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17-TA2Die-Ham1/7</v>
      </c>
    </row>
    <row r="69" spans="1:15" x14ac:dyDescent="0.35">
      <c r="A69" t="s">
        <v>21</v>
      </c>
      <c r="B69" t="s">
        <v>52</v>
      </c>
      <c r="C69" s="1">
        <v>42939</v>
      </c>
      <c r="D69" t="s">
        <v>20</v>
      </c>
      <c r="E69" s="7">
        <v>54</v>
      </c>
      <c r="F69" s="7">
        <f>IFERROR(VLOOKUP(E69,Margins!$A:$B,2,TRUE),"")</f>
        <v>0.1</v>
      </c>
      <c r="G69" s="7">
        <f t="shared" si="2"/>
        <v>18630</v>
      </c>
      <c r="H69" t="s">
        <v>62</v>
      </c>
      <c r="I69">
        <v>3450</v>
      </c>
      <c r="J69">
        <f>IF(Table1[[#This Row],[Tickets Sold]]&gt;500,8,5)</f>
        <v>8</v>
      </c>
      <c r="K69">
        <v>2864</v>
      </c>
      <c r="L69" t="str">
        <f>VLOOKUP(H69,Descriptions!A:B, 2, FALSE)</f>
        <v>Seating Cat. 1</v>
      </c>
      <c r="M69">
        <f t="shared" ca="1" si="3"/>
        <v>-2269</v>
      </c>
      <c r="O69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17-SC1Die-Lon23/7</v>
      </c>
    </row>
    <row r="70" spans="1:15" x14ac:dyDescent="0.35">
      <c r="A70" t="s">
        <v>21</v>
      </c>
      <c r="B70" t="s">
        <v>52</v>
      </c>
      <c r="C70" s="1">
        <v>42939</v>
      </c>
      <c r="D70" t="s">
        <v>20</v>
      </c>
      <c r="E70" s="7">
        <v>74</v>
      </c>
      <c r="F70" s="7">
        <f>IFERROR(VLOOKUP(E70,Margins!$A:$B,2,TRUE),"")</f>
        <v>0.1</v>
      </c>
      <c r="G70" s="7">
        <f t="shared" si="2"/>
        <v>5905.2000000000007</v>
      </c>
      <c r="H70" t="s">
        <v>63</v>
      </c>
      <c r="I70">
        <v>798</v>
      </c>
      <c r="J70">
        <f>IF(Table1[[#This Row],[Tickets Sold]]&gt;500,8,5)</f>
        <v>8</v>
      </c>
      <c r="K70">
        <v>687</v>
      </c>
      <c r="L70" t="str">
        <f>VLOOKUP(H70,Descriptions!A:B, 2, FALSE)</f>
        <v>Seating Cat. 2</v>
      </c>
      <c r="M70">
        <f t="shared" ca="1" si="3"/>
        <v>-2269</v>
      </c>
      <c r="O70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17-SC2Die-Lon23/7</v>
      </c>
    </row>
    <row r="71" spans="1:15" x14ac:dyDescent="0.35">
      <c r="A71" t="s">
        <v>21</v>
      </c>
      <c r="B71" t="s">
        <v>52</v>
      </c>
      <c r="C71" s="1">
        <v>42939</v>
      </c>
      <c r="D71" t="s">
        <v>20</v>
      </c>
      <c r="E71" s="7">
        <v>143</v>
      </c>
      <c r="F71" s="7">
        <f>IFERROR(VLOOKUP(E71,Margins!$A:$B,2,TRUE),"")</f>
        <v>0.15</v>
      </c>
      <c r="G71" s="7">
        <f t="shared" si="2"/>
        <v>10725</v>
      </c>
      <c r="H71" t="s">
        <v>64</v>
      </c>
      <c r="I71">
        <v>500</v>
      </c>
      <c r="J71">
        <f>IF(Table1[[#This Row],[Tickets Sold]]&gt;500,8,5)</f>
        <v>5</v>
      </c>
      <c r="K71">
        <v>330</v>
      </c>
      <c r="L71" t="str">
        <f>VLOOKUP(H71,Descriptions!A:B, 2, FALSE)</f>
        <v>Seating Cat. 3</v>
      </c>
      <c r="M71">
        <f t="shared" ca="1" si="3"/>
        <v>-2269</v>
      </c>
      <c r="O71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17-SC3Die-Lon23/7</v>
      </c>
    </row>
    <row r="72" spans="1:15" x14ac:dyDescent="0.35">
      <c r="A72" t="s">
        <v>21</v>
      </c>
      <c r="B72" t="s">
        <v>52</v>
      </c>
      <c r="C72" s="1">
        <v>42939</v>
      </c>
      <c r="D72" t="s">
        <v>20</v>
      </c>
      <c r="E72" s="7">
        <v>29</v>
      </c>
      <c r="F72" s="7">
        <f>IFERROR(VLOOKUP(E72,Margins!$A:$B,2,TRUE),"")</f>
        <v>7.0000000000000007E-2</v>
      </c>
      <c r="G72" s="7">
        <f t="shared" si="2"/>
        <v>243.60000000000002</v>
      </c>
      <c r="H72" t="s">
        <v>67</v>
      </c>
      <c r="I72">
        <v>120</v>
      </c>
      <c r="J72">
        <f>IF(Table1[[#This Row],[Tickets Sold]]&gt;500,8,5)</f>
        <v>5</v>
      </c>
      <c r="K72">
        <v>76</v>
      </c>
      <c r="L72" t="str">
        <f>VLOOKUP(H72,Descriptions!A:B, 2, FALSE)</f>
        <v>Seating-disabled</v>
      </c>
      <c r="M72">
        <f t="shared" ca="1" si="3"/>
        <v>-2269</v>
      </c>
      <c r="O72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17-SCDDie-Lon23/7</v>
      </c>
    </row>
    <row r="73" spans="1:15" x14ac:dyDescent="0.35">
      <c r="A73" t="s">
        <v>21</v>
      </c>
      <c r="B73" t="s">
        <v>52</v>
      </c>
      <c r="C73" s="1">
        <v>42939</v>
      </c>
      <c r="D73" t="s">
        <v>20</v>
      </c>
      <c r="E73" s="7">
        <v>244</v>
      </c>
      <c r="F73" s="7">
        <f>IFERROR(VLOOKUP(E73,Margins!$A:$B,2,TRUE),"")</f>
        <v>0.25</v>
      </c>
      <c r="G73" s="7">
        <f t="shared" si="2"/>
        <v>12200</v>
      </c>
      <c r="H73" t="s">
        <v>65</v>
      </c>
      <c r="I73">
        <v>200</v>
      </c>
      <c r="J73">
        <f>IF(Table1[[#This Row],[Tickets Sold]]&gt;500,8,5)</f>
        <v>5</v>
      </c>
      <c r="K73">
        <v>160</v>
      </c>
      <c r="L73" t="str">
        <f>VLOOKUP(H73,Descriptions!A:B, 2, FALSE)</f>
        <v>Ticket + Air travel Package</v>
      </c>
      <c r="M73">
        <f t="shared" ca="1" si="3"/>
        <v>-2269</v>
      </c>
      <c r="O73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17-TA1Die-Lon23/7</v>
      </c>
    </row>
    <row r="74" spans="1:15" x14ac:dyDescent="0.35">
      <c r="A74" t="s">
        <v>21</v>
      </c>
      <c r="B74" t="s">
        <v>52</v>
      </c>
      <c r="C74" s="1">
        <v>42939</v>
      </c>
      <c r="D74" t="s">
        <v>20</v>
      </c>
      <c r="E74" s="7">
        <v>349</v>
      </c>
      <c r="F74" s="7">
        <f>IFERROR(VLOOKUP(E74,Margins!$A:$B,2,TRUE),"")</f>
        <v>0.25</v>
      </c>
      <c r="G74" s="7">
        <f t="shared" si="2"/>
        <v>26175</v>
      </c>
      <c r="H74" t="s">
        <v>66</v>
      </c>
      <c r="I74">
        <v>300</v>
      </c>
      <c r="J74">
        <f>IF(Table1[[#This Row],[Tickets Sold]]&gt;500,8,5)</f>
        <v>5</v>
      </c>
      <c r="K74">
        <v>204</v>
      </c>
      <c r="L74" t="str">
        <f>VLOOKUP(H74,Descriptions!A:B, 2, FALSE)</f>
        <v>Ticket + Air travel + Hotel Package</v>
      </c>
      <c r="M74">
        <f t="shared" ca="1" si="3"/>
        <v>-2269</v>
      </c>
      <c r="O74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17-TA2Die-Lon23/7</v>
      </c>
    </row>
    <row r="75" spans="1:15" x14ac:dyDescent="0.35">
      <c r="A75" t="s">
        <v>21</v>
      </c>
      <c r="B75" t="s">
        <v>55</v>
      </c>
      <c r="C75" s="1">
        <v>42941</v>
      </c>
      <c r="D75" t="s">
        <v>20</v>
      </c>
      <c r="E75" s="7">
        <v>31</v>
      </c>
      <c r="F75" s="7">
        <f>IFERROR(VLOOKUP(E75,Margins!$A:$B,2,TRUE),"")</f>
        <v>7.0000000000000007E-2</v>
      </c>
      <c r="G75" s="7">
        <f t="shared" si="2"/>
        <v>3255.0000000000005</v>
      </c>
      <c r="H75" t="s">
        <v>62</v>
      </c>
      <c r="I75">
        <v>1500</v>
      </c>
      <c r="J75">
        <f>IF(Table1[[#This Row],[Tickets Sold]]&gt;500,8,5)</f>
        <v>8</v>
      </c>
      <c r="K75">
        <v>1065</v>
      </c>
      <c r="L75" t="str">
        <f>VLOOKUP(H75,Descriptions!A:B, 2, FALSE)</f>
        <v>Seating Cat. 1</v>
      </c>
      <c r="M75">
        <f t="shared" ca="1" si="3"/>
        <v>-2269</v>
      </c>
      <c r="O75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17-SC1Die-Zur25/7</v>
      </c>
    </row>
    <row r="76" spans="1:15" x14ac:dyDescent="0.35">
      <c r="A76" t="s">
        <v>21</v>
      </c>
      <c r="B76" t="s">
        <v>55</v>
      </c>
      <c r="C76" s="1">
        <v>42941</v>
      </c>
      <c r="D76" t="s">
        <v>20</v>
      </c>
      <c r="E76" s="7">
        <v>102</v>
      </c>
      <c r="F76" s="7">
        <f>IFERROR(VLOOKUP(E76,Margins!$A:$B,2,TRUE),"")</f>
        <v>0.15</v>
      </c>
      <c r="G76" s="7">
        <f t="shared" si="2"/>
        <v>9180</v>
      </c>
      <c r="H76" t="s">
        <v>63</v>
      </c>
      <c r="I76">
        <v>600</v>
      </c>
      <c r="J76">
        <f>IF(Table1[[#This Row],[Tickets Sold]]&gt;500,8,5)</f>
        <v>5</v>
      </c>
      <c r="K76">
        <v>462</v>
      </c>
      <c r="L76" t="str">
        <f>VLOOKUP(H76,Descriptions!A:B, 2, FALSE)</f>
        <v>Seating Cat. 2</v>
      </c>
      <c r="M76">
        <f t="shared" ca="1" si="3"/>
        <v>-2269</v>
      </c>
      <c r="O76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17-SC2Die-Zur25/7</v>
      </c>
    </row>
    <row r="77" spans="1:15" x14ac:dyDescent="0.35">
      <c r="A77" t="s">
        <v>21</v>
      </c>
      <c r="B77" t="s">
        <v>55</v>
      </c>
      <c r="C77" s="1">
        <v>42941</v>
      </c>
      <c r="D77" t="s">
        <v>20</v>
      </c>
      <c r="E77" s="7">
        <v>143</v>
      </c>
      <c r="F77" s="7">
        <f>IFERROR(VLOOKUP(E77,Margins!$A:$B,2,TRUE),"")</f>
        <v>0.15</v>
      </c>
      <c r="G77" s="7">
        <f t="shared" si="2"/>
        <v>4290</v>
      </c>
      <c r="H77" t="s">
        <v>64</v>
      </c>
      <c r="I77">
        <v>200</v>
      </c>
      <c r="J77">
        <f>IF(Table1[[#This Row],[Tickets Sold]]&gt;500,8,5)</f>
        <v>5</v>
      </c>
      <c r="K77">
        <v>140</v>
      </c>
      <c r="L77" t="str">
        <f>VLOOKUP(H77,Descriptions!A:B, 2, FALSE)</f>
        <v>Seating Cat. 3</v>
      </c>
      <c r="M77">
        <f t="shared" ca="1" si="3"/>
        <v>-2269</v>
      </c>
      <c r="O77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17-SC3Die-Zur25/7</v>
      </c>
    </row>
    <row r="78" spans="1:15" x14ac:dyDescent="0.35">
      <c r="A78" t="s">
        <v>34</v>
      </c>
      <c r="B78" t="s">
        <v>52</v>
      </c>
      <c r="C78" s="1">
        <v>42951</v>
      </c>
      <c r="D78" t="s">
        <v>79</v>
      </c>
      <c r="E78" s="7">
        <v>61</v>
      </c>
      <c r="F78" s="7">
        <f>IFERROR(VLOOKUP(E78,Margins!$A:$B,2,TRUE),"")</f>
        <v>0.1</v>
      </c>
      <c r="G78" s="7">
        <f t="shared" si="2"/>
        <v>60603.500000000007</v>
      </c>
      <c r="H78" t="s">
        <v>68</v>
      </c>
      <c r="I78">
        <v>9935</v>
      </c>
      <c r="J78">
        <f>IF(Table1[[#This Row],[Tickets Sold]]&gt;500,8,5)</f>
        <v>8</v>
      </c>
      <c r="K78">
        <v>6657</v>
      </c>
      <c r="L78" t="str">
        <f>VLOOKUP(H78,Descriptions!A:B, 2, FALSE)</f>
        <v>General Admission (1 day)</v>
      </c>
      <c r="M78">
        <f t="shared" ca="1" si="3"/>
        <v>-2261</v>
      </c>
      <c r="O78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17-GA1Ele-Lon4/8</v>
      </c>
    </row>
    <row r="79" spans="1:15" x14ac:dyDescent="0.35">
      <c r="A79" t="s">
        <v>34</v>
      </c>
      <c r="B79" t="s">
        <v>52</v>
      </c>
      <c r="C79" s="1">
        <v>42951</v>
      </c>
      <c r="D79" t="s">
        <v>79</v>
      </c>
      <c r="E79" s="7">
        <v>52</v>
      </c>
      <c r="F79" s="7">
        <f>IFERROR(VLOOKUP(E79,Margins!$A:$B,2,TRUE),"")</f>
        <v>0.1</v>
      </c>
      <c r="G79" s="7">
        <f t="shared" si="2"/>
        <v>3369.6</v>
      </c>
      <c r="H79" t="s">
        <v>62</v>
      </c>
      <c r="I79">
        <v>648</v>
      </c>
      <c r="J79">
        <f>IF(Table1[[#This Row],[Tickets Sold]]&gt;500,8,5)</f>
        <v>5</v>
      </c>
      <c r="K79">
        <v>370</v>
      </c>
      <c r="L79" t="str">
        <f>VLOOKUP(H79,Descriptions!A:B, 2, FALSE)</f>
        <v>Seating Cat. 1</v>
      </c>
      <c r="M79">
        <f t="shared" ca="1" si="3"/>
        <v>-2261</v>
      </c>
      <c r="O79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17-SC1Ele-Lon4/8</v>
      </c>
    </row>
    <row r="80" spans="1:15" x14ac:dyDescent="0.35">
      <c r="A80" t="s">
        <v>34</v>
      </c>
      <c r="B80" t="s">
        <v>52</v>
      </c>
      <c r="C80" s="1">
        <v>42951</v>
      </c>
      <c r="D80" t="s">
        <v>79</v>
      </c>
      <c r="E80" s="7">
        <v>299</v>
      </c>
      <c r="F80" s="7">
        <f>IFERROR(VLOOKUP(E80,Margins!$A:$B,2,TRUE),"")</f>
        <v>0.25</v>
      </c>
      <c r="G80" s="7">
        <f t="shared" si="2"/>
        <v>14950</v>
      </c>
      <c r="H80" t="s">
        <v>65</v>
      </c>
      <c r="I80">
        <v>200</v>
      </c>
      <c r="J80">
        <f>IF(Table1[[#This Row],[Tickets Sold]]&gt;500,8,5)</f>
        <v>5</v>
      </c>
      <c r="K80">
        <v>148</v>
      </c>
      <c r="L80" t="str">
        <f>VLOOKUP(H80,Descriptions!A:B, 2, FALSE)</f>
        <v>Ticket + Air travel Package</v>
      </c>
      <c r="M80">
        <f t="shared" ca="1" si="3"/>
        <v>-2261</v>
      </c>
      <c r="O80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17-TA1Ele-Lon4/8</v>
      </c>
    </row>
    <row r="81" spans="1:15" x14ac:dyDescent="0.35">
      <c r="A81" t="s">
        <v>34</v>
      </c>
      <c r="B81" t="s">
        <v>52</v>
      </c>
      <c r="C81" s="1">
        <v>42951</v>
      </c>
      <c r="D81" t="s">
        <v>79</v>
      </c>
      <c r="E81" s="7">
        <v>336</v>
      </c>
      <c r="F81" s="7">
        <f>IFERROR(VLOOKUP(E81,Margins!$A:$B,2,TRUE),"")</f>
        <v>0.25</v>
      </c>
      <c r="G81" s="7">
        <f t="shared" si="2"/>
        <v>25200</v>
      </c>
      <c r="H81" t="s">
        <v>66</v>
      </c>
      <c r="I81">
        <v>300</v>
      </c>
      <c r="J81">
        <f>IF(Table1[[#This Row],[Tickets Sold]]&gt;500,8,5)</f>
        <v>5</v>
      </c>
      <c r="K81">
        <v>261</v>
      </c>
      <c r="L81" t="str">
        <f>VLOOKUP(H81,Descriptions!A:B, 2, FALSE)</f>
        <v>Ticket + Air travel + Hotel Package</v>
      </c>
      <c r="M81">
        <f t="shared" ca="1" si="3"/>
        <v>-2261</v>
      </c>
      <c r="O81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17-TA2Ele-Lon4/8</v>
      </c>
    </row>
    <row r="82" spans="1:15" x14ac:dyDescent="0.35">
      <c r="A82" t="s">
        <v>34</v>
      </c>
      <c r="B82" t="s">
        <v>48</v>
      </c>
      <c r="C82" s="1">
        <v>42953</v>
      </c>
      <c r="D82" t="s">
        <v>79</v>
      </c>
      <c r="E82" s="7">
        <v>73</v>
      </c>
      <c r="F82" s="7">
        <f>IFERROR(VLOOKUP(E82,Margins!$A:$B,2,TRUE),"")</f>
        <v>0.1</v>
      </c>
      <c r="G82" s="7">
        <f t="shared" si="2"/>
        <v>63028.200000000004</v>
      </c>
      <c r="H82" t="s">
        <v>68</v>
      </c>
      <c r="I82">
        <v>8634</v>
      </c>
      <c r="J82">
        <f>IF(Table1[[#This Row],[Tickets Sold]]&gt;500,8,5)</f>
        <v>8</v>
      </c>
      <c r="K82">
        <v>4404</v>
      </c>
      <c r="L82" t="str">
        <f>VLOOKUP(H82,Descriptions!A:B, 2, FALSE)</f>
        <v>General Admission (1 day)</v>
      </c>
      <c r="M82">
        <f t="shared" ca="1" si="3"/>
        <v>-2259</v>
      </c>
      <c r="O82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17-GA1Ele-Par6/8</v>
      </c>
    </row>
    <row r="83" spans="1:15" x14ac:dyDescent="0.35">
      <c r="A83" t="s">
        <v>34</v>
      </c>
      <c r="B83" t="s">
        <v>48</v>
      </c>
      <c r="C83" s="1">
        <v>42953</v>
      </c>
      <c r="D83" t="s">
        <v>79</v>
      </c>
      <c r="E83" s="7">
        <v>70</v>
      </c>
      <c r="F83" s="7">
        <f>IFERROR(VLOOKUP(E83,Margins!$A:$B,2,TRUE),"")</f>
        <v>0.1</v>
      </c>
      <c r="G83" s="7">
        <f t="shared" si="2"/>
        <v>8680</v>
      </c>
      <c r="H83" t="s">
        <v>62</v>
      </c>
      <c r="I83">
        <v>1240</v>
      </c>
      <c r="J83">
        <f>IF(Table1[[#This Row],[Tickets Sold]]&gt;500,8,5)</f>
        <v>8</v>
      </c>
      <c r="K83">
        <v>695</v>
      </c>
      <c r="L83" t="str">
        <f>VLOOKUP(H83,Descriptions!A:B, 2, FALSE)</f>
        <v>Seating Cat. 1</v>
      </c>
      <c r="M83">
        <f t="shared" ca="1" si="3"/>
        <v>-2259</v>
      </c>
      <c r="O83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17-SC1Ele-Par6/8</v>
      </c>
    </row>
    <row r="84" spans="1:15" x14ac:dyDescent="0.35">
      <c r="A84" t="s">
        <v>34</v>
      </c>
      <c r="B84" t="s">
        <v>48</v>
      </c>
      <c r="C84" s="1">
        <v>42953</v>
      </c>
      <c r="D84" t="s">
        <v>79</v>
      </c>
      <c r="E84" s="7">
        <v>269</v>
      </c>
      <c r="F84" s="7">
        <f>IFERROR(VLOOKUP(E84,Margins!$A:$B,2,TRUE),"")</f>
        <v>0.25</v>
      </c>
      <c r="G84" s="7">
        <f t="shared" si="2"/>
        <v>26900</v>
      </c>
      <c r="H84" t="s">
        <v>65</v>
      </c>
      <c r="I84">
        <v>400</v>
      </c>
      <c r="J84">
        <f>IF(Table1[[#This Row],[Tickets Sold]]&gt;500,8,5)</f>
        <v>5</v>
      </c>
      <c r="K84">
        <v>260</v>
      </c>
      <c r="L84" t="str">
        <f>VLOOKUP(H84,Descriptions!A:B, 2, FALSE)</f>
        <v>Ticket + Air travel Package</v>
      </c>
      <c r="M84">
        <f t="shared" ca="1" si="3"/>
        <v>-2259</v>
      </c>
      <c r="O84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17-TA1Ele-Par6/8</v>
      </c>
    </row>
    <row r="85" spans="1:15" x14ac:dyDescent="0.35">
      <c r="A85" t="s">
        <v>34</v>
      </c>
      <c r="B85" t="s">
        <v>48</v>
      </c>
      <c r="C85" s="1">
        <v>42953</v>
      </c>
      <c r="D85" t="s">
        <v>79</v>
      </c>
      <c r="E85" s="7">
        <v>304</v>
      </c>
      <c r="F85" s="7">
        <f>IFERROR(VLOOKUP(E85,Margins!$A:$B,2,TRUE),"")</f>
        <v>0.25</v>
      </c>
      <c r="G85" s="7">
        <f t="shared" si="2"/>
        <v>15200</v>
      </c>
      <c r="H85" t="s">
        <v>66</v>
      </c>
      <c r="I85">
        <v>200</v>
      </c>
      <c r="J85">
        <f>IF(Table1[[#This Row],[Tickets Sold]]&gt;500,8,5)</f>
        <v>5</v>
      </c>
      <c r="K85">
        <v>116</v>
      </c>
      <c r="L85" t="str">
        <f>VLOOKUP(H85,Descriptions!A:B, 2, FALSE)</f>
        <v>Ticket + Air travel + Hotel Package</v>
      </c>
      <c r="M85">
        <f t="shared" ca="1" si="3"/>
        <v>-2259</v>
      </c>
      <c r="O85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17-TA2Ele-Par6/8</v>
      </c>
    </row>
    <row r="86" spans="1:15" x14ac:dyDescent="0.35">
      <c r="A86" t="s">
        <v>31</v>
      </c>
      <c r="B86" t="s">
        <v>47</v>
      </c>
      <c r="C86" s="1">
        <v>42926</v>
      </c>
      <c r="D86" t="s">
        <v>29</v>
      </c>
      <c r="E86" s="7">
        <v>54</v>
      </c>
      <c r="F86" s="7">
        <f>IFERROR(VLOOKUP(E86,Margins!$A:$B,2,TRUE),"")</f>
        <v>0.1</v>
      </c>
      <c r="G86" s="7">
        <f t="shared" si="2"/>
        <v>270000</v>
      </c>
      <c r="H86" t="s">
        <v>68</v>
      </c>
      <c r="I86">
        <v>50000</v>
      </c>
      <c r="J86">
        <f>IF(Table1[[#This Row],[Tickets Sold]]&gt;500,8,5)</f>
        <v>8</v>
      </c>
      <c r="K86">
        <v>34000</v>
      </c>
      <c r="L86" t="str">
        <f>VLOOKUP(H86,Descriptions!A:B, 2, FALSE)</f>
        <v>General Admission (1 day)</v>
      </c>
      <c r="M86">
        <f t="shared" ca="1" si="3"/>
        <v>-2279</v>
      </c>
      <c r="O86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17-GA1Eur-Sto10/7</v>
      </c>
    </row>
    <row r="87" spans="1:15" x14ac:dyDescent="0.35">
      <c r="A87" t="s">
        <v>31</v>
      </c>
      <c r="B87" t="s">
        <v>47</v>
      </c>
      <c r="C87" s="1">
        <v>42926</v>
      </c>
      <c r="D87" t="s">
        <v>29</v>
      </c>
      <c r="E87" s="7">
        <v>99</v>
      </c>
      <c r="F87" s="7">
        <f>IFERROR(VLOOKUP(E87,Margins!$A:$B,2,TRUE),"")</f>
        <v>0.1</v>
      </c>
      <c r="G87" s="7">
        <f t="shared" si="2"/>
        <v>495000</v>
      </c>
      <c r="H87" t="s">
        <v>69</v>
      </c>
      <c r="I87">
        <v>50000</v>
      </c>
      <c r="J87">
        <f>IF(Table1[[#This Row],[Tickets Sold]]&gt;500,8,5)</f>
        <v>8</v>
      </c>
      <c r="K87">
        <v>34500</v>
      </c>
      <c r="L87" t="str">
        <f>VLOOKUP(H87,Descriptions!A:B, 2, FALSE)</f>
        <v>General Admission (2 days)</v>
      </c>
      <c r="M87">
        <f t="shared" ca="1" si="3"/>
        <v>-2279</v>
      </c>
      <c r="O87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17-GA2Eur-Sto10/7</v>
      </c>
    </row>
    <row r="88" spans="1:15" x14ac:dyDescent="0.35">
      <c r="A88" t="s">
        <v>31</v>
      </c>
      <c r="B88" t="s">
        <v>47</v>
      </c>
      <c r="C88" s="1">
        <v>42926</v>
      </c>
      <c r="D88" t="s">
        <v>29</v>
      </c>
      <c r="E88" s="7">
        <v>35</v>
      </c>
      <c r="F88" s="7">
        <f>IFERROR(VLOOKUP(E88,Margins!$A:$B,2,TRUE),"")</f>
        <v>7.0000000000000007E-2</v>
      </c>
      <c r="G88" s="7">
        <f t="shared" si="2"/>
        <v>132.30000000000001</v>
      </c>
      <c r="H88" t="s">
        <v>67</v>
      </c>
      <c r="I88">
        <v>54</v>
      </c>
      <c r="J88">
        <f>IF(Table1[[#This Row],[Tickets Sold]]&gt;500,8,5)</f>
        <v>5</v>
      </c>
      <c r="K88">
        <v>35</v>
      </c>
      <c r="L88" t="str">
        <f>VLOOKUP(H88,Descriptions!A:B, 2, FALSE)</f>
        <v>Seating-disabled</v>
      </c>
      <c r="M88">
        <f t="shared" ca="1" si="3"/>
        <v>-2279</v>
      </c>
      <c r="O88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17-SCDEur-Sto10/7</v>
      </c>
    </row>
    <row r="89" spans="1:15" x14ac:dyDescent="0.35">
      <c r="A89" t="s">
        <v>31</v>
      </c>
      <c r="B89" t="s">
        <v>47</v>
      </c>
      <c r="C89" s="1">
        <v>42927</v>
      </c>
      <c r="D89" t="s">
        <v>29</v>
      </c>
      <c r="E89" s="7">
        <v>42</v>
      </c>
      <c r="F89" s="7">
        <f>IFERROR(VLOOKUP(E89,Margins!$A:$B,2,TRUE),"")</f>
        <v>7.0000000000000007E-2</v>
      </c>
      <c r="G89" s="7">
        <f t="shared" si="2"/>
        <v>147000.00000000003</v>
      </c>
      <c r="H89" t="s">
        <v>68</v>
      </c>
      <c r="I89">
        <v>50000</v>
      </c>
      <c r="J89">
        <f>IF(Table1[[#This Row],[Tickets Sold]]&gt;500,8,5)</f>
        <v>8</v>
      </c>
      <c r="K89">
        <v>42500</v>
      </c>
      <c r="L89" t="str">
        <f>VLOOKUP(H89,Descriptions!A:B, 2, FALSE)</f>
        <v>General Admission (1 day)</v>
      </c>
      <c r="M89">
        <f t="shared" ca="1" si="3"/>
        <v>-2279</v>
      </c>
      <c r="O89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17-GA1Eur-Sto11/7</v>
      </c>
    </row>
    <row r="90" spans="1:15" x14ac:dyDescent="0.35">
      <c r="A90" t="s">
        <v>31</v>
      </c>
      <c r="B90" t="s">
        <v>47</v>
      </c>
      <c r="C90" s="1">
        <v>42927</v>
      </c>
      <c r="D90" t="s">
        <v>29</v>
      </c>
      <c r="E90" s="7">
        <v>226</v>
      </c>
      <c r="F90" s="7">
        <f>IFERROR(VLOOKUP(E90,Margins!$A:$B,2,TRUE),"")</f>
        <v>0.25</v>
      </c>
      <c r="G90" s="7">
        <f t="shared" si="2"/>
        <v>16950</v>
      </c>
      <c r="H90" t="s">
        <v>65</v>
      </c>
      <c r="I90">
        <v>300</v>
      </c>
      <c r="J90">
        <f>IF(Table1[[#This Row],[Tickets Sold]]&gt;500,8,5)</f>
        <v>5</v>
      </c>
      <c r="K90">
        <v>207</v>
      </c>
      <c r="L90" t="str">
        <f>VLOOKUP(H90,Descriptions!A:B, 2, FALSE)</f>
        <v>Ticket + Air travel Package</v>
      </c>
      <c r="M90">
        <f t="shared" ca="1" si="3"/>
        <v>-2279</v>
      </c>
      <c r="O90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17-TA1Eur-Sto11/7</v>
      </c>
    </row>
    <row r="91" spans="1:15" x14ac:dyDescent="0.35">
      <c r="A91" t="s">
        <v>31</v>
      </c>
      <c r="B91" t="s">
        <v>47</v>
      </c>
      <c r="C91" s="1">
        <v>42927</v>
      </c>
      <c r="D91" t="s">
        <v>29</v>
      </c>
      <c r="E91" s="7">
        <v>29</v>
      </c>
      <c r="F91" s="7">
        <f>IFERROR(VLOOKUP(E91,Margins!$A:$B,2,TRUE),"")</f>
        <v>7.0000000000000007E-2</v>
      </c>
      <c r="G91" s="7">
        <f t="shared" si="2"/>
        <v>225.33000000000004</v>
      </c>
      <c r="H91" t="s">
        <v>67</v>
      </c>
      <c r="I91">
        <v>111</v>
      </c>
      <c r="J91">
        <f>IF(Table1[[#This Row],[Tickets Sold]]&gt;500,8,5)</f>
        <v>5</v>
      </c>
      <c r="K91">
        <v>88</v>
      </c>
      <c r="L91" t="str">
        <f>VLOOKUP(H91,Descriptions!A:B, 2, FALSE)</f>
        <v>Seating-disabled</v>
      </c>
      <c r="M91">
        <f t="shared" ca="1" si="3"/>
        <v>-2279</v>
      </c>
      <c r="O91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17-SCDEur-Sto11/7</v>
      </c>
    </row>
    <row r="92" spans="1:15" x14ac:dyDescent="0.35">
      <c r="A92" t="s">
        <v>31</v>
      </c>
      <c r="B92" t="s">
        <v>47</v>
      </c>
      <c r="C92" s="1">
        <v>42927</v>
      </c>
      <c r="D92" t="s">
        <v>29</v>
      </c>
      <c r="E92" s="7">
        <v>379</v>
      </c>
      <c r="F92" s="7">
        <f>IFERROR(VLOOKUP(E92,Margins!$A:$B,2,TRUE),"")</f>
        <v>0.25</v>
      </c>
      <c r="G92" s="7">
        <f t="shared" si="2"/>
        <v>28425</v>
      </c>
      <c r="H92" t="s">
        <v>66</v>
      </c>
      <c r="I92">
        <v>300</v>
      </c>
      <c r="J92">
        <f>IF(Table1[[#This Row],[Tickets Sold]]&gt;500,8,5)</f>
        <v>5</v>
      </c>
      <c r="K92">
        <v>261</v>
      </c>
      <c r="L92" t="str">
        <f>VLOOKUP(H92,Descriptions!A:B, 2, FALSE)</f>
        <v>Ticket + Air travel + Hotel Package</v>
      </c>
      <c r="M92">
        <f t="shared" ca="1" si="3"/>
        <v>-2279</v>
      </c>
      <c r="O92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17-TA2Eur-Sto11/7</v>
      </c>
    </row>
    <row r="93" spans="1:15" x14ac:dyDescent="0.35">
      <c r="A93" t="s">
        <v>31</v>
      </c>
      <c r="B93" t="s">
        <v>48</v>
      </c>
      <c r="C93" s="1">
        <v>42937</v>
      </c>
      <c r="D93" t="s">
        <v>29</v>
      </c>
      <c r="E93" s="7">
        <v>78</v>
      </c>
      <c r="F93" s="7">
        <f>IFERROR(VLOOKUP(E93,Margins!$A:$B,2,TRUE),"")</f>
        <v>0.1</v>
      </c>
      <c r="G93" s="7">
        <f t="shared" si="2"/>
        <v>390000.00000000006</v>
      </c>
      <c r="H93" t="s">
        <v>68</v>
      </c>
      <c r="I93">
        <v>50000</v>
      </c>
      <c r="J93">
        <f>IF(Table1[[#This Row],[Tickets Sold]]&gt;500,8,5)</f>
        <v>8</v>
      </c>
      <c r="K93">
        <v>43500</v>
      </c>
      <c r="L93" t="str">
        <f>VLOOKUP(H93,Descriptions!A:B, 2, FALSE)</f>
        <v>General Admission (1 day)</v>
      </c>
      <c r="M93">
        <f t="shared" ca="1" si="3"/>
        <v>-2271</v>
      </c>
      <c r="O93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17-GA1Eur-Par21/7</v>
      </c>
    </row>
    <row r="94" spans="1:15" x14ac:dyDescent="0.35">
      <c r="A94" t="s">
        <v>31</v>
      </c>
      <c r="B94" t="s">
        <v>48</v>
      </c>
      <c r="C94" s="1">
        <v>42937</v>
      </c>
      <c r="D94" t="s">
        <v>29</v>
      </c>
      <c r="E94" s="7">
        <v>94</v>
      </c>
      <c r="F94" s="7">
        <f>IFERROR(VLOOKUP(E94,Margins!$A:$B,2,TRUE),"")</f>
        <v>0.1</v>
      </c>
      <c r="G94" s="7">
        <f t="shared" si="2"/>
        <v>470000</v>
      </c>
      <c r="H94" t="s">
        <v>69</v>
      </c>
      <c r="I94">
        <v>50000</v>
      </c>
      <c r="J94">
        <f>IF(Table1[[#This Row],[Tickets Sold]]&gt;500,8,5)</f>
        <v>8</v>
      </c>
      <c r="K94">
        <v>27500</v>
      </c>
      <c r="L94" t="str">
        <f>VLOOKUP(H94,Descriptions!A:B, 2, FALSE)</f>
        <v>General Admission (2 days)</v>
      </c>
      <c r="M94">
        <f t="shared" ca="1" si="3"/>
        <v>-2271</v>
      </c>
      <c r="O94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17-GA2Eur-Par21/7</v>
      </c>
    </row>
    <row r="95" spans="1:15" x14ac:dyDescent="0.35">
      <c r="A95" t="s">
        <v>31</v>
      </c>
      <c r="B95" t="s">
        <v>48</v>
      </c>
      <c r="C95" s="1">
        <v>42937</v>
      </c>
      <c r="D95" t="s">
        <v>29</v>
      </c>
      <c r="E95" s="7">
        <v>31</v>
      </c>
      <c r="F95" s="7">
        <f>IFERROR(VLOOKUP(E95,Margins!$A:$B,2,TRUE),"")</f>
        <v>7.0000000000000007E-2</v>
      </c>
      <c r="G95" s="7">
        <f t="shared" si="2"/>
        <v>180.11000000000004</v>
      </c>
      <c r="H95" t="s">
        <v>67</v>
      </c>
      <c r="I95">
        <v>83</v>
      </c>
      <c r="J95">
        <f>IF(Table1[[#This Row],[Tickets Sold]]&gt;500,8,5)</f>
        <v>5</v>
      </c>
      <c r="K95">
        <v>66</v>
      </c>
      <c r="L95" t="str">
        <f>VLOOKUP(H95,Descriptions!A:B, 2, FALSE)</f>
        <v>Seating-disabled</v>
      </c>
      <c r="M95">
        <f t="shared" ca="1" si="3"/>
        <v>-2271</v>
      </c>
      <c r="O95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17-SCDEur-Par21/7</v>
      </c>
    </row>
    <row r="96" spans="1:15" x14ac:dyDescent="0.35">
      <c r="A96" t="s">
        <v>31</v>
      </c>
      <c r="B96" t="s">
        <v>48</v>
      </c>
      <c r="C96" s="1">
        <v>42938</v>
      </c>
      <c r="D96" t="s">
        <v>29</v>
      </c>
      <c r="E96" s="7">
        <v>50</v>
      </c>
      <c r="F96" s="7">
        <f>IFERROR(VLOOKUP(E96,Margins!$A:$B,2,TRUE),"")</f>
        <v>0.1</v>
      </c>
      <c r="G96" s="7">
        <f t="shared" si="2"/>
        <v>250000</v>
      </c>
      <c r="H96" t="s">
        <v>68</v>
      </c>
      <c r="I96">
        <v>50000</v>
      </c>
      <c r="J96">
        <f>IF(Table1[[#This Row],[Tickets Sold]]&gt;500,8,5)</f>
        <v>8</v>
      </c>
      <c r="K96">
        <v>25500</v>
      </c>
      <c r="L96" t="str">
        <f>VLOOKUP(H96,Descriptions!A:B, 2, FALSE)</f>
        <v>General Admission (1 day)</v>
      </c>
      <c r="M96">
        <f t="shared" ca="1" si="3"/>
        <v>-2270</v>
      </c>
      <c r="O96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17-GA1Eur-Par22/7</v>
      </c>
    </row>
    <row r="97" spans="1:15" x14ac:dyDescent="0.35">
      <c r="A97" t="s">
        <v>31</v>
      </c>
      <c r="B97" t="s">
        <v>48</v>
      </c>
      <c r="C97" s="1">
        <v>42938</v>
      </c>
      <c r="D97" t="s">
        <v>29</v>
      </c>
      <c r="E97" s="7">
        <v>220</v>
      </c>
      <c r="F97" s="7">
        <f>IFERROR(VLOOKUP(E97,Margins!$A:$B,2,TRUE),"")</f>
        <v>0.25</v>
      </c>
      <c r="G97" s="7">
        <f t="shared" si="2"/>
        <v>22000</v>
      </c>
      <c r="H97" t="s">
        <v>65</v>
      </c>
      <c r="I97">
        <v>400</v>
      </c>
      <c r="J97">
        <f>IF(Table1[[#This Row],[Tickets Sold]]&gt;500,8,5)</f>
        <v>5</v>
      </c>
      <c r="K97">
        <v>344</v>
      </c>
      <c r="L97" t="str">
        <f>VLOOKUP(H97,Descriptions!A:B, 2, FALSE)</f>
        <v>Ticket + Air travel Package</v>
      </c>
      <c r="M97">
        <f t="shared" ca="1" si="3"/>
        <v>-2270</v>
      </c>
      <c r="O97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17-TA1Eur-Par22/7</v>
      </c>
    </row>
    <row r="98" spans="1:15" x14ac:dyDescent="0.35">
      <c r="A98" t="s">
        <v>31</v>
      </c>
      <c r="B98" t="s">
        <v>48</v>
      </c>
      <c r="C98" s="1">
        <v>42938</v>
      </c>
      <c r="D98" t="s">
        <v>29</v>
      </c>
      <c r="E98" s="7">
        <v>29</v>
      </c>
      <c r="F98" s="7">
        <f>IFERROR(VLOOKUP(E98,Margins!$A:$B,2,TRUE),"")</f>
        <v>7.0000000000000007E-2</v>
      </c>
      <c r="G98" s="7">
        <f t="shared" si="2"/>
        <v>129.92000000000002</v>
      </c>
      <c r="H98" t="s">
        <v>67</v>
      </c>
      <c r="I98">
        <v>64</v>
      </c>
      <c r="J98">
        <f>IF(Table1[[#This Row],[Tickets Sold]]&gt;500,8,5)</f>
        <v>5</v>
      </c>
      <c r="K98">
        <v>40</v>
      </c>
      <c r="L98" t="str">
        <f>VLOOKUP(H98,Descriptions!A:B, 2, FALSE)</f>
        <v>Seating-disabled</v>
      </c>
      <c r="M98">
        <f t="shared" ca="1" si="3"/>
        <v>-2270</v>
      </c>
      <c r="O98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17-SCDEur-Par22/7</v>
      </c>
    </row>
    <row r="99" spans="1:15" x14ac:dyDescent="0.35">
      <c r="A99" t="s">
        <v>31</v>
      </c>
      <c r="B99" t="s">
        <v>48</v>
      </c>
      <c r="C99" s="1">
        <v>42938</v>
      </c>
      <c r="D99" t="s">
        <v>29</v>
      </c>
      <c r="E99" s="7">
        <v>320</v>
      </c>
      <c r="F99" s="7">
        <f>IFERROR(VLOOKUP(E99,Margins!$A:$B,2,TRUE),"")</f>
        <v>0.25</v>
      </c>
      <c r="G99" s="7">
        <f t="shared" si="2"/>
        <v>16000</v>
      </c>
      <c r="H99" t="s">
        <v>66</v>
      </c>
      <c r="I99">
        <v>200</v>
      </c>
      <c r="J99">
        <f>IF(Table1[[#This Row],[Tickets Sold]]&gt;500,8,5)</f>
        <v>5</v>
      </c>
      <c r="K99">
        <v>128</v>
      </c>
      <c r="L99" t="str">
        <f>VLOOKUP(H99,Descriptions!A:B, 2, FALSE)</f>
        <v>Ticket + Air travel + Hotel Package</v>
      </c>
      <c r="M99">
        <f t="shared" ca="1" si="3"/>
        <v>-2270</v>
      </c>
      <c r="O99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17-TA2Eur-Par22/7</v>
      </c>
    </row>
    <row r="100" spans="1:15" x14ac:dyDescent="0.35">
      <c r="A100" t="s">
        <v>31</v>
      </c>
      <c r="B100" t="s">
        <v>51</v>
      </c>
      <c r="C100" s="1">
        <v>42941</v>
      </c>
      <c r="D100" t="s">
        <v>29</v>
      </c>
      <c r="E100" s="7">
        <v>50</v>
      </c>
      <c r="F100" s="7">
        <f>IFERROR(VLOOKUP(E100,Margins!$A:$B,2,TRUE),"")</f>
        <v>0.1</v>
      </c>
      <c r="G100" s="7">
        <f t="shared" si="2"/>
        <v>250000</v>
      </c>
      <c r="H100" t="s">
        <v>68</v>
      </c>
      <c r="I100">
        <v>50000</v>
      </c>
      <c r="J100">
        <f>IF(Table1[[#This Row],[Tickets Sold]]&gt;500,8,5)</f>
        <v>8</v>
      </c>
      <c r="K100">
        <v>38500</v>
      </c>
      <c r="L100" t="str">
        <f>VLOOKUP(H100,Descriptions!A:B, 2, FALSE)</f>
        <v>General Admission (1 day)</v>
      </c>
      <c r="M100">
        <f t="shared" ca="1" si="3"/>
        <v>-2269</v>
      </c>
      <c r="O100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17-GA1Eur-Bar25/7</v>
      </c>
    </row>
    <row r="101" spans="1:15" x14ac:dyDescent="0.35">
      <c r="A101" t="s">
        <v>31</v>
      </c>
      <c r="B101" t="s">
        <v>51</v>
      </c>
      <c r="C101" s="1">
        <v>42941</v>
      </c>
      <c r="D101" t="s">
        <v>29</v>
      </c>
      <c r="E101" s="7">
        <v>94</v>
      </c>
      <c r="F101" s="7">
        <f>IFERROR(VLOOKUP(E101,Margins!$A:$B,2,TRUE),"")</f>
        <v>0.1</v>
      </c>
      <c r="G101" s="7">
        <f t="shared" si="2"/>
        <v>470000</v>
      </c>
      <c r="H101" t="s">
        <v>69</v>
      </c>
      <c r="I101">
        <v>50000</v>
      </c>
      <c r="J101">
        <f>IF(Table1[[#This Row],[Tickets Sold]]&gt;500,8,5)</f>
        <v>8</v>
      </c>
      <c r="K101">
        <v>29000</v>
      </c>
      <c r="L101" t="str">
        <f>VLOOKUP(H101,Descriptions!A:B, 2, FALSE)</f>
        <v>General Admission (2 days)</v>
      </c>
      <c r="M101">
        <f t="shared" ca="1" si="3"/>
        <v>-2269</v>
      </c>
      <c r="O101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17-GA2Eur-Bar25/7</v>
      </c>
    </row>
    <row r="102" spans="1:15" x14ac:dyDescent="0.35">
      <c r="A102" t="s">
        <v>31</v>
      </c>
      <c r="B102" t="s">
        <v>51</v>
      </c>
      <c r="C102" s="1">
        <v>42941</v>
      </c>
      <c r="D102" t="s">
        <v>29</v>
      </c>
      <c r="E102" s="7">
        <v>29</v>
      </c>
      <c r="F102" s="7">
        <f>IFERROR(VLOOKUP(E102,Margins!$A:$B,2,TRUE),"")</f>
        <v>7.0000000000000007E-2</v>
      </c>
      <c r="G102" s="7">
        <f t="shared" si="2"/>
        <v>227.36</v>
      </c>
      <c r="H102" t="s">
        <v>67</v>
      </c>
      <c r="I102">
        <v>112</v>
      </c>
      <c r="J102">
        <f>IF(Table1[[#This Row],[Tickets Sold]]&gt;500,8,5)</f>
        <v>5</v>
      </c>
      <c r="K102">
        <v>104</v>
      </c>
      <c r="L102" t="str">
        <f>VLOOKUP(H102,Descriptions!A:B, 2, FALSE)</f>
        <v>Seating-disabled</v>
      </c>
      <c r="M102">
        <f t="shared" ca="1" si="3"/>
        <v>-2269</v>
      </c>
      <c r="O102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17-SCDEur-Bar25/7</v>
      </c>
    </row>
    <row r="103" spans="1:15" x14ac:dyDescent="0.35">
      <c r="A103" t="s">
        <v>31</v>
      </c>
      <c r="B103" t="s">
        <v>51</v>
      </c>
      <c r="C103" s="1">
        <v>42942</v>
      </c>
      <c r="D103" t="s">
        <v>29</v>
      </c>
      <c r="E103" s="7">
        <v>50</v>
      </c>
      <c r="F103" s="7">
        <f>IFERROR(VLOOKUP(E103,Margins!$A:$B,2,TRUE),"")</f>
        <v>0.1</v>
      </c>
      <c r="G103" s="7">
        <f t="shared" si="2"/>
        <v>250000</v>
      </c>
      <c r="H103" t="s">
        <v>68</v>
      </c>
      <c r="I103">
        <v>50000</v>
      </c>
      <c r="J103">
        <f>IF(Table1[[#This Row],[Tickets Sold]]&gt;500,8,5)</f>
        <v>8</v>
      </c>
      <c r="K103">
        <v>28000</v>
      </c>
      <c r="L103" t="str">
        <f>VLOOKUP(H103,Descriptions!A:B, 2, FALSE)</f>
        <v>General Admission (1 day)</v>
      </c>
      <c r="M103">
        <f t="shared" ca="1" si="3"/>
        <v>-2268</v>
      </c>
      <c r="O103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17-GA1Eur-Bar26/7</v>
      </c>
    </row>
    <row r="104" spans="1:15" x14ac:dyDescent="0.35">
      <c r="A104" t="s">
        <v>31</v>
      </c>
      <c r="B104" t="s">
        <v>51</v>
      </c>
      <c r="C104" s="1">
        <v>42942</v>
      </c>
      <c r="D104" t="s">
        <v>29</v>
      </c>
      <c r="E104" s="7">
        <v>192</v>
      </c>
      <c r="F104" s="7">
        <f>IFERROR(VLOOKUP(E104,Margins!$A:$B,2,TRUE),"")</f>
        <v>0.15</v>
      </c>
      <c r="G104" s="7">
        <f t="shared" si="2"/>
        <v>8640</v>
      </c>
      <c r="H104" t="s">
        <v>65</v>
      </c>
      <c r="I104">
        <v>300</v>
      </c>
      <c r="J104">
        <f>IF(Table1[[#This Row],[Tickets Sold]]&gt;500,8,5)</f>
        <v>5</v>
      </c>
      <c r="K104">
        <v>210</v>
      </c>
      <c r="L104" t="str">
        <f>VLOOKUP(H104,Descriptions!A:B, 2, FALSE)</f>
        <v>Ticket + Air travel Package</v>
      </c>
      <c r="M104">
        <f t="shared" ca="1" si="3"/>
        <v>-2268</v>
      </c>
      <c r="O104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17-TA1Eur-Bar26/7</v>
      </c>
    </row>
    <row r="105" spans="1:15" x14ac:dyDescent="0.35">
      <c r="A105" t="s">
        <v>31</v>
      </c>
      <c r="B105" t="s">
        <v>51</v>
      </c>
      <c r="C105" s="1">
        <v>42942</v>
      </c>
      <c r="D105" t="s">
        <v>29</v>
      </c>
      <c r="E105" s="7">
        <v>23</v>
      </c>
      <c r="F105" s="7">
        <f>IFERROR(VLOOKUP(E105,Margins!$A:$B,2,TRUE),"")</f>
        <v>7.0000000000000007E-2</v>
      </c>
      <c r="G105" s="7">
        <f t="shared" si="2"/>
        <v>94.990000000000009</v>
      </c>
      <c r="H105" t="s">
        <v>67</v>
      </c>
      <c r="I105">
        <v>59</v>
      </c>
      <c r="J105">
        <f>IF(Table1[[#This Row],[Tickets Sold]]&gt;500,8,5)</f>
        <v>5</v>
      </c>
      <c r="K105">
        <v>56</v>
      </c>
      <c r="L105" t="str">
        <f>VLOOKUP(H105,Descriptions!A:B, 2, FALSE)</f>
        <v>Seating-disabled</v>
      </c>
      <c r="M105">
        <f t="shared" ca="1" si="3"/>
        <v>-2268</v>
      </c>
      <c r="O105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17-SCDEur-Bar26/7</v>
      </c>
    </row>
    <row r="106" spans="1:15" x14ac:dyDescent="0.35">
      <c r="A106" t="s">
        <v>31</v>
      </c>
      <c r="B106" t="s">
        <v>51</v>
      </c>
      <c r="C106" s="1">
        <v>42942</v>
      </c>
      <c r="D106" t="s">
        <v>29</v>
      </c>
      <c r="E106" s="7">
        <v>351</v>
      </c>
      <c r="F106" s="7">
        <f>IFERROR(VLOOKUP(E106,Margins!$A:$B,2,TRUE),"")</f>
        <v>0.25</v>
      </c>
      <c r="G106" s="7">
        <f t="shared" si="2"/>
        <v>26325</v>
      </c>
      <c r="H106" t="s">
        <v>66</v>
      </c>
      <c r="I106">
        <v>300</v>
      </c>
      <c r="J106">
        <f>IF(Table1[[#This Row],[Tickets Sold]]&gt;500,8,5)</f>
        <v>5</v>
      </c>
      <c r="K106">
        <v>240</v>
      </c>
      <c r="L106" t="str">
        <f>VLOOKUP(H106,Descriptions!A:B, 2, FALSE)</f>
        <v>Ticket + Air travel + Hotel Package</v>
      </c>
      <c r="M106">
        <f t="shared" ca="1" si="3"/>
        <v>-2268</v>
      </c>
      <c r="O106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17-TA2Eur-Bar26/7</v>
      </c>
    </row>
    <row r="107" spans="1:15" x14ac:dyDescent="0.35">
      <c r="A107" t="s">
        <v>24</v>
      </c>
      <c r="B107" t="s">
        <v>54</v>
      </c>
      <c r="C107" s="1">
        <v>42956</v>
      </c>
      <c r="D107" t="s">
        <v>80</v>
      </c>
      <c r="E107" s="7">
        <v>68</v>
      </c>
      <c r="F107" s="7">
        <f>IFERROR(VLOOKUP(E107,Margins!$A:$B,2,TRUE),"")</f>
        <v>0.1</v>
      </c>
      <c r="G107" s="7">
        <f t="shared" si="2"/>
        <v>6392.0000000000009</v>
      </c>
      <c r="H107" t="s">
        <v>62</v>
      </c>
      <c r="I107">
        <v>940</v>
      </c>
      <c r="J107">
        <f>IF(Table1[[#This Row],[Tickets Sold]]&gt;500,8,5)</f>
        <v>5</v>
      </c>
      <c r="K107">
        <v>480</v>
      </c>
      <c r="L107" t="str">
        <f>VLOOKUP(H107,Descriptions!A:B, 2, FALSE)</f>
        <v>Seating Cat. 1</v>
      </c>
      <c r="M107">
        <f t="shared" ca="1" si="3"/>
        <v>-2258</v>
      </c>
      <c r="O107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17-SC1Fil-Ber9/8</v>
      </c>
    </row>
    <row r="108" spans="1:15" x14ac:dyDescent="0.35">
      <c r="A108" t="s">
        <v>24</v>
      </c>
      <c r="B108" t="s">
        <v>52</v>
      </c>
      <c r="C108" s="1">
        <v>42962</v>
      </c>
      <c r="D108" t="s">
        <v>80</v>
      </c>
      <c r="E108" s="7">
        <v>72</v>
      </c>
      <c r="F108" s="7">
        <f>IFERROR(VLOOKUP(E108,Margins!$A:$B,2,TRUE),"")</f>
        <v>0.1</v>
      </c>
      <c r="G108" s="7">
        <f t="shared" si="2"/>
        <v>4708.8</v>
      </c>
      <c r="H108" t="s">
        <v>62</v>
      </c>
      <c r="I108">
        <v>654</v>
      </c>
      <c r="J108">
        <f>IF(Table1[[#This Row],[Tickets Sold]]&gt;500,8,5)</f>
        <v>8</v>
      </c>
      <c r="K108">
        <v>517</v>
      </c>
      <c r="L108" t="str">
        <f>VLOOKUP(H108,Descriptions!A:B, 2, FALSE)</f>
        <v>Seating Cat. 1</v>
      </c>
      <c r="M108">
        <f t="shared" ca="1" si="3"/>
        <v>-2254</v>
      </c>
      <c r="O108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17-SC1Fil-Lon15/8</v>
      </c>
    </row>
    <row r="109" spans="1:15" x14ac:dyDescent="0.35">
      <c r="A109" t="s">
        <v>24</v>
      </c>
      <c r="B109" t="s">
        <v>52</v>
      </c>
      <c r="C109" s="1">
        <v>42962</v>
      </c>
      <c r="D109" t="s">
        <v>80</v>
      </c>
      <c r="E109" s="7">
        <v>73</v>
      </c>
      <c r="F109" s="7">
        <f>IFERROR(VLOOKUP(E109,Margins!$A:$B,2,TRUE),"")</f>
        <v>0.1</v>
      </c>
      <c r="G109" s="7">
        <f t="shared" si="2"/>
        <v>2920.0000000000005</v>
      </c>
      <c r="H109" t="s">
        <v>63</v>
      </c>
      <c r="I109">
        <v>400</v>
      </c>
      <c r="J109">
        <f>IF(Table1[[#This Row],[Tickets Sold]]&gt;500,8,5)</f>
        <v>5</v>
      </c>
      <c r="K109">
        <v>280</v>
      </c>
      <c r="L109" t="str">
        <f>VLOOKUP(H109,Descriptions!A:B, 2, FALSE)</f>
        <v>Seating Cat. 2</v>
      </c>
      <c r="M109">
        <f t="shared" ca="1" si="3"/>
        <v>-2254</v>
      </c>
      <c r="O109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17-SC2Fil-Lon15/8</v>
      </c>
    </row>
    <row r="110" spans="1:15" x14ac:dyDescent="0.35">
      <c r="A110" t="s">
        <v>24</v>
      </c>
      <c r="B110" t="s">
        <v>52</v>
      </c>
      <c r="C110" s="1">
        <v>42962</v>
      </c>
      <c r="D110" t="s">
        <v>80</v>
      </c>
      <c r="E110" s="7">
        <v>152</v>
      </c>
      <c r="F110" s="7">
        <f>IFERROR(VLOOKUP(E110,Margins!$A:$B,2,TRUE),"")</f>
        <v>0.15</v>
      </c>
      <c r="G110" s="7">
        <f t="shared" si="2"/>
        <v>4856.4000000000005</v>
      </c>
      <c r="H110" t="s">
        <v>64</v>
      </c>
      <c r="I110">
        <v>213</v>
      </c>
      <c r="J110">
        <f>IF(Table1[[#This Row],[Tickets Sold]]&gt;500,8,5)</f>
        <v>5</v>
      </c>
      <c r="K110">
        <v>199</v>
      </c>
      <c r="L110" t="str">
        <f>VLOOKUP(H110,Descriptions!A:B, 2, FALSE)</f>
        <v>Seating Cat. 3</v>
      </c>
      <c r="M110">
        <f t="shared" ca="1" si="3"/>
        <v>-2254</v>
      </c>
      <c r="O110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17-SC3Fil-Lon15/8</v>
      </c>
    </row>
    <row r="111" spans="1:15" x14ac:dyDescent="0.35">
      <c r="A111" t="s">
        <v>24</v>
      </c>
      <c r="B111" t="s">
        <v>52</v>
      </c>
      <c r="C111" s="1">
        <v>42962</v>
      </c>
      <c r="D111" t="s">
        <v>80</v>
      </c>
      <c r="E111" s="7">
        <v>293</v>
      </c>
      <c r="F111" s="7">
        <f>IFERROR(VLOOKUP(E111,Margins!$A:$B,2,TRUE),"")</f>
        <v>0.25</v>
      </c>
      <c r="G111" s="7">
        <f t="shared" si="2"/>
        <v>21975</v>
      </c>
      <c r="H111" t="s">
        <v>65</v>
      </c>
      <c r="I111">
        <v>300</v>
      </c>
      <c r="J111">
        <f>IF(Table1[[#This Row],[Tickets Sold]]&gt;500,8,5)</f>
        <v>5</v>
      </c>
      <c r="K111">
        <v>168</v>
      </c>
      <c r="L111" t="str">
        <f>VLOOKUP(H111,Descriptions!A:B, 2, FALSE)</f>
        <v>Ticket + Air travel Package</v>
      </c>
      <c r="M111">
        <f t="shared" ca="1" si="3"/>
        <v>-2254</v>
      </c>
      <c r="O111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17-TA1Fil-Lon15/8</v>
      </c>
    </row>
    <row r="112" spans="1:15" x14ac:dyDescent="0.35">
      <c r="A112" t="s">
        <v>24</v>
      </c>
      <c r="B112" t="s">
        <v>52</v>
      </c>
      <c r="C112" s="1">
        <v>42962</v>
      </c>
      <c r="D112" t="s">
        <v>80</v>
      </c>
      <c r="E112" s="7">
        <v>30</v>
      </c>
      <c r="F112" s="7">
        <f>IFERROR(VLOOKUP(E112,Margins!$A:$B,2,TRUE),"")</f>
        <v>7.0000000000000007E-2</v>
      </c>
      <c r="G112" s="7">
        <f t="shared" si="2"/>
        <v>119.7</v>
      </c>
      <c r="H112" t="s">
        <v>67</v>
      </c>
      <c r="I112">
        <v>57</v>
      </c>
      <c r="J112">
        <f>IF(Table1[[#This Row],[Tickets Sold]]&gt;500,8,5)</f>
        <v>5</v>
      </c>
      <c r="K112">
        <v>50</v>
      </c>
      <c r="L112" t="str">
        <f>VLOOKUP(H112,Descriptions!A:B, 2, FALSE)</f>
        <v>Seating-disabled</v>
      </c>
      <c r="M112">
        <f t="shared" ca="1" si="3"/>
        <v>-2254</v>
      </c>
      <c r="O112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17-SCDFil-Lon15/8</v>
      </c>
    </row>
    <row r="113" spans="1:15" x14ac:dyDescent="0.35">
      <c r="A113" t="s">
        <v>24</v>
      </c>
      <c r="B113" t="s">
        <v>52</v>
      </c>
      <c r="C113" s="1">
        <v>42962</v>
      </c>
      <c r="D113" t="s">
        <v>80</v>
      </c>
      <c r="E113" s="7">
        <v>357</v>
      </c>
      <c r="F113" s="7">
        <f>IFERROR(VLOOKUP(E113,Margins!$A:$B,2,TRUE),"")</f>
        <v>0.25</v>
      </c>
      <c r="G113" s="7">
        <f t="shared" si="2"/>
        <v>26775</v>
      </c>
      <c r="H113" t="s">
        <v>66</v>
      </c>
      <c r="I113">
        <v>300</v>
      </c>
      <c r="J113">
        <f>IF(Table1[[#This Row],[Tickets Sold]]&gt;500,8,5)</f>
        <v>5</v>
      </c>
      <c r="K113">
        <v>192</v>
      </c>
      <c r="L113" t="str">
        <f>VLOOKUP(H113,Descriptions!A:B, 2, FALSE)</f>
        <v>Ticket + Air travel + Hotel Package</v>
      </c>
      <c r="M113">
        <f t="shared" ca="1" si="3"/>
        <v>-2254</v>
      </c>
      <c r="O113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17-TA2Fil-Lon15/8</v>
      </c>
    </row>
    <row r="114" spans="1:15" x14ac:dyDescent="0.35">
      <c r="A114" t="s">
        <v>25</v>
      </c>
      <c r="B114" t="s">
        <v>52</v>
      </c>
      <c r="C114" s="1">
        <v>42898</v>
      </c>
      <c r="D114" t="s">
        <v>80</v>
      </c>
      <c r="E114" s="7">
        <v>37</v>
      </c>
      <c r="F114" s="7">
        <f>IFERROR(VLOOKUP(E114,Margins!$A:$B,2,TRUE),"")</f>
        <v>7.0000000000000007E-2</v>
      </c>
      <c r="G114" s="7">
        <f t="shared" si="2"/>
        <v>1844.0800000000002</v>
      </c>
      <c r="H114" t="s">
        <v>62</v>
      </c>
      <c r="I114">
        <v>712</v>
      </c>
      <c r="J114">
        <f>IF(Table1[[#This Row],[Tickets Sold]]&gt;500,8,5)</f>
        <v>8</v>
      </c>
      <c r="K114">
        <v>641</v>
      </c>
      <c r="L114" t="str">
        <f>VLOOKUP(H114,Descriptions!A:B, 2, FALSE)</f>
        <v>Seating Cat. 1</v>
      </c>
      <c r="M114">
        <f t="shared" ca="1" si="3"/>
        <v>-2299</v>
      </c>
      <c r="O114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17-SC1Fil-Lon12/6</v>
      </c>
    </row>
    <row r="115" spans="1:15" x14ac:dyDescent="0.35">
      <c r="A115" t="s">
        <v>25</v>
      </c>
      <c r="B115" t="s">
        <v>52</v>
      </c>
      <c r="C115" s="1">
        <v>42898</v>
      </c>
      <c r="D115" t="s">
        <v>80</v>
      </c>
      <c r="E115" s="7">
        <v>106</v>
      </c>
      <c r="F115" s="7">
        <f>IFERROR(VLOOKUP(E115,Margins!$A:$B,2,TRUE),"")</f>
        <v>0.15</v>
      </c>
      <c r="G115" s="7">
        <f t="shared" si="2"/>
        <v>7361.6999999999989</v>
      </c>
      <c r="H115" t="s">
        <v>63</v>
      </c>
      <c r="I115">
        <v>463</v>
      </c>
      <c r="J115">
        <f>IF(Table1[[#This Row],[Tickets Sold]]&gt;500,8,5)</f>
        <v>5</v>
      </c>
      <c r="K115">
        <v>380</v>
      </c>
      <c r="L115" t="str">
        <f>VLOOKUP(H115,Descriptions!A:B, 2, FALSE)</f>
        <v>Seating Cat. 2</v>
      </c>
      <c r="M115">
        <f t="shared" ca="1" si="3"/>
        <v>-2299</v>
      </c>
      <c r="O115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17-SC2Fil-Lon12/6</v>
      </c>
    </row>
    <row r="116" spans="1:15" x14ac:dyDescent="0.35">
      <c r="A116" t="s">
        <v>25</v>
      </c>
      <c r="B116" t="s">
        <v>52</v>
      </c>
      <c r="C116" s="1">
        <v>42898</v>
      </c>
      <c r="D116" t="s">
        <v>80</v>
      </c>
      <c r="E116" s="7">
        <v>116</v>
      </c>
      <c r="F116" s="7">
        <f>IFERROR(VLOOKUP(E116,Margins!$A:$B,2,TRUE),"")</f>
        <v>0.15</v>
      </c>
      <c r="G116" s="7">
        <f t="shared" si="2"/>
        <v>3793.2</v>
      </c>
      <c r="H116" t="s">
        <v>64</v>
      </c>
      <c r="I116">
        <v>218</v>
      </c>
      <c r="J116">
        <f>IF(Table1[[#This Row],[Tickets Sold]]&gt;500,8,5)</f>
        <v>5</v>
      </c>
      <c r="K116">
        <v>120</v>
      </c>
      <c r="L116" t="str">
        <f>VLOOKUP(H116,Descriptions!A:B, 2, FALSE)</f>
        <v>Seating Cat. 3</v>
      </c>
      <c r="M116">
        <f t="shared" ca="1" si="3"/>
        <v>-2299</v>
      </c>
      <c r="O116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17-SC3Fil-Lon12/6</v>
      </c>
    </row>
    <row r="117" spans="1:15" x14ac:dyDescent="0.35">
      <c r="A117" t="s">
        <v>25</v>
      </c>
      <c r="B117" t="s">
        <v>52</v>
      </c>
      <c r="C117" s="1">
        <v>42898</v>
      </c>
      <c r="D117" t="s">
        <v>80</v>
      </c>
      <c r="E117" s="7">
        <v>240</v>
      </c>
      <c r="F117" s="7">
        <f>IFERROR(VLOOKUP(E117,Margins!$A:$B,2,TRUE),"")</f>
        <v>0.25</v>
      </c>
      <c r="G117" s="7">
        <f t="shared" si="2"/>
        <v>18000</v>
      </c>
      <c r="H117" t="s">
        <v>65</v>
      </c>
      <c r="I117">
        <v>300</v>
      </c>
      <c r="J117">
        <f>IF(Table1[[#This Row],[Tickets Sold]]&gt;500,8,5)</f>
        <v>5</v>
      </c>
      <c r="K117">
        <v>264</v>
      </c>
      <c r="L117" t="str">
        <f>VLOOKUP(H117,Descriptions!A:B, 2, FALSE)</f>
        <v>Ticket + Air travel Package</v>
      </c>
      <c r="M117">
        <f t="shared" ca="1" si="3"/>
        <v>-2299</v>
      </c>
      <c r="O117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17-TA1Fil-Lon12/6</v>
      </c>
    </row>
    <row r="118" spans="1:15" x14ac:dyDescent="0.35">
      <c r="A118" t="s">
        <v>25</v>
      </c>
      <c r="B118" t="s">
        <v>52</v>
      </c>
      <c r="C118" s="1">
        <v>42898</v>
      </c>
      <c r="D118" t="s">
        <v>80</v>
      </c>
      <c r="E118" s="7">
        <v>305</v>
      </c>
      <c r="F118" s="7">
        <f>IFERROR(VLOOKUP(E118,Margins!$A:$B,2,TRUE),"")</f>
        <v>0.25</v>
      </c>
      <c r="G118" s="7">
        <f t="shared" si="2"/>
        <v>15250</v>
      </c>
      <c r="H118" t="s">
        <v>66</v>
      </c>
      <c r="I118">
        <v>200</v>
      </c>
      <c r="J118">
        <f>IF(Table1[[#This Row],[Tickets Sold]]&gt;500,8,5)</f>
        <v>5</v>
      </c>
      <c r="K118">
        <v>164</v>
      </c>
      <c r="L118" t="str">
        <f>VLOOKUP(H118,Descriptions!A:B, 2, FALSE)</f>
        <v>Ticket + Air travel + Hotel Package</v>
      </c>
      <c r="M118">
        <f t="shared" ca="1" si="3"/>
        <v>-2299</v>
      </c>
      <c r="O118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17-TA2Fil-Lon12/6</v>
      </c>
    </row>
    <row r="119" spans="1:15" x14ac:dyDescent="0.35">
      <c r="A119" t="s">
        <v>25</v>
      </c>
      <c r="B119" t="s">
        <v>2</v>
      </c>
      <c r="C119" s="1">
        <v>42934</v>
      </c>
      <c r="D119" t="s">
        <v>80</v>
      </c>
      <c r="E119" s="7">
        <v>70</v>
      </c>
      <c r="F119" s="7">
        <f>IFERROR(VLOOKUP(E119,Margins!$A:$B,2,TRUE),"")</f>
        <v>0.1</v>
      </c>
      <c r="G119" s="7">
        <f t="shared" si="2"/>
        <v>3360</v>
      </c>
      <c r="H119" t="s">
        <v>62</v>
      </c>
      <c r="I119">
        <v>480</v>
      </c>
      <c r="J119">
        <f>IF(Table1[[#This Row],[Tickets Sold]]&gt;500,8,5)</f>
        <v>5</v>
      </c>
      <c r="K119">
        <v>322</v>
      </c>
      <c r="L119" t="str">
        <f>VLOOKUP(H119,Descriptions!A:B, 2, FALSE)</f>
        <v>Seating Cat. 1</v>
      </c>
      <c r="M119">
        <f t="shared" ca="1" si="3"/>
        <v>-2274</v>
      </c>
      <c r="O119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17-SC1Fil-Vie18/7</v>
      </c>
    </row>
    <row r="120" spans="1:15" x14ac:dyDescent="0.35">
      <c r="A120" t="s">
        <v>14</v>
      </c>
      <c r="B120" t="s">
        <v>2</v>
      </c>
      <c r="C120" s="1">
        <v>42892</v>
      </c>
      <c r="D120" t="s">
        <v>3</v>
      </c>
      <c r="E120" s="7">
        <v>114</v>
      </c>
      <c r="F120" s="7">
        <f>IFERROR(VLOOKUP(E120,Margins!$A:$B,2,TRUE),"")</f>
        <v>0.15</v>
      </c>
      <c r="G120" s="7">
        <f t="shared" si="2"/>
        <v>5984.9999999999991</v>
      </c>
      <c r="H120" t="s">
        <v>63</v>
      </c>
      <c r="I120">
        <v>350</v>
      </c>
      <c r="J120">
        <f>IF(Table1[[#This Row],[Tickets Sold]]&gt;500,8,5)</f>
        <v>5</v>
      </c>
      <c r="K120">
        <v>305</v>
      </c>
      <c r="L120" t="str">
        <f>VLOOKUP(H120,Descriptions!A:B, 2, FALSE)</f>
        <v>Seating Cat. 2</v>
      </c>
      <c r="M120">
        <f t="shared" ca="1" si="3"/>
        <v>-2304</v>
      </c>
      <c r="O120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17-SC2Fla-Vie6/6</v>
      </c>
    </row>
    <row r="121" spans="1:15" x14ac:dyDescent="0.35">
      <c r="A121" t="s">
        <v>14</v>
      </c>
      <c r="B121" t="s">
        <v>56</v>
      </c>
      <c r="C121" s="1">
        <v>42933</v>
      </c>
      <c r="D121" t="s">
        <v>3</v>
      </c>
      <c r="E121" s="7">
        <v>37</v>
      </c>
      <c r="F121" s="7">
        <f>IFERROR(VLOOKUP(E121,Margins!$A:$B,2,TRUE),"")</f>
        <v>7.0000000000000007E-2</v>
      </c>
      <c r="G121" s="7">
        <f t="shared" si="2"/>
        <v>1398.6000000000001</v>
      </c>
      <c r="H121" t="s">
        <v>62</v>
      </c>
      <c r="I121">
        <v>540</v>
      </c>
      <c r="J121">
        <f>IF(Table1[[#This Row],[Tickets Sold]]&gt;500,8,5)</f>
        <v>5</v>
      </c>
      <c r="K121">
        <v>432</v>
      </c>
      <c r="L121" t="str">
        <f>VLOOKUP(H121,Descriptions!A:B, 2, FALSE)</f>
        <v>Seating Cat. 1</v>
      </c>
      <c r="M121">
        <f t="shared" ca="1" si="3"/>
        <v>-2274</v>
      </c>
      <c r="O121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17-SC1Fla-Edi17/7</v>
      </c>
    </row>
    <row r="122" spans="1:15" x14ac:dyDescent="0.35">
      <c r="A122" t="s">
        <v>14</v>
      </c>
      <c r="B122" t="s">
        <v>56</v>
      </c>
      <c r="C122" s="1">
        <v>42933</v>
      </c>
      <c r="D122" t="s">
        <v>3</v>
      </c>
      <c r="E122" s="7">
        <v>86</v>
      </c>
      <c r="F122" s="7">
        <f>IFERROR(VLOOKUP(E122,Margins!$A:$B,2,TRUE),"")</f>
        <v>0.1</v>
      </c>
      <c r="G122" s="7">
        <f t="shared" si="2"/>
        <v>2752</v>
      </c>
      <c r="H122" t="s">
        <v>63</v>
      </c>
      <c r="I122">
        <v>320</v>
      </c>
      <c r="J122">
        <f>IF(Table1[[#This Row],[Tickets Sold]]&gt;500,8,5)</f>
        <v>5</v>
      </c>
      <c r="K122">
        <v>212</v>
      </c>
      <c r="L122" t="str">
        <f>VLOOKUP(H122,Descriptions!A:B, 2, FALSE)</f>
        <v>Seating Cat. 2</v>
      </c>
      <c r="M122">
        <f t="shared" ca="1" si="3"/>
        <v>-2274</v>
      </c>
      <c r="O122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17-SC2Fla-Edi17/7</v>
      </c>
    </row>
    <row r="123" spans="1:15" x14ac:dyDescent="0.35">
      <c r="A123" t="s">
        <v>14</v>
      </c>
      <c r="B123" t="s">
        <v>56</v>
      </c>
      <c r="C123" s="1">
        <v>42933</v>
      </c>
      <c r="D123" t="s">
        <v>3</v>
      </c>
      <c r="E123" s="7">
        <v>222</v>
      </c>
      <c r="F123" s="7">
        <f>IFERROR(VLOOKUP(E123,Margins!$A:$B,2,TRUE),"")</f>
        <v>0.25</v>
      </c>
      <c r="G123" s="7">
        <f t="shared" si="2"/>
        <v>16650</v>
      </c>
      <c r="H123" t="s">
        <v>65</v>
      </c>
      <c r="I123">
        <v>300</v>
      </c>
      <c r="J123">
        <f>IF(Table1[[#This Row],[Tickets Sold]]&gt;500,8,5)</f>
        <v>5</v>
      </c>
      <c r="K123">
        <v>156</v>
      </c>
      <c r="L123" t="str">
        <f>VLOOKUP(H123,Descriptions!A:B, 2, FALSE)</f>
        <v>Ticket + Air travel Package</v>
      </c>
      <c r="M123">
        <f t="shared" ca="1" si="3"/>
        <v>-2274</v>
      </c>
      <c r="O123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17-TA1Fla-Edi17/7</v>
      </c>
    </row>
    <row r="124" spans="1:15" x14ac:dyDescent="0.35">
      <c r="A124" t="s">
        <v>14</v>
      </c>
      <c r="B124" t="s">
        <v>56</v>
      </c>
      <c r="C124" s="1">
        <v>42933</v>
      </c>
      <c r="D124" t="s">
        <v>3</v>
      </c>
      <c r="E124" s="7">
        <v>315</v>
      </c>
      <c r="F124" s="7">
        <f>IFERROR(VLOOKUP(E124,Margins!$A:$B,2,TRUE),"")</f>
        <v>0.25</v>
      </c>
      <c r="G124" s="7">
        <f t="shared" si="2"/>
        <v>23625</v>
      </c>
      <c r="H124" t="s">
        <v>66</v>
      </c>
      <c r="I124">
        <v>300</v>
      </c>
      <c r="J124">
        <f>IF(Table1[[#This Row],[Tickets Sold]]&gt;500,8,5)</f>
        <v>5</v>
      </c>
      <c r="K124">
        <v>195</v>
      </c>
      <c r="L124" t="str">
        <f>VLOOKUP(H124,Descriptions!A:B, 2, FALSE)</f>
        <v>Ticket + Air travel + Hotel Package</v>
      </c>
      <c r="M124">
        <f t="shared" ca="1" si="3"/>
        <v>-2274</v>
      </c>
      <c r="O124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17-TA2Fla-Edi17/7</v>
      </c>
    </row>
    <row r="125" spans="1:15" x14ac:dyDescent="0.35">
      <c r="A125" t="s">
        <v>14</v>
      </c>
      <c r="B125" t="s">
        <v>56</v>
      </c>
      <c r="C125" s="1">
        <v>42934</v>
      </c>
      <c r="D125" t="s">
        <v>3</v>
      </c>
      <c r="E125" s="7">
        <v>78</v>
      </c>
      <c r="F125" s="7">
        <f>IFERROR(VLOOKUP(E125,Margins!$A:$B,2,TRUE),"")</f>
        <v>0.1</v>
      </c>
      <c r="G125" s="7">
        <f t="shared" si="2"/>
        <v>9750</v>
      </c>
      <c r="H125" t="s">
        <v>62</v>
      </c>
      <c r="I125">
        <v>1250</v>
      </c>
      <c r="J125">
        <f>IF(Table1[[#This Row],[Tickets Sold]]&gt;500,8,5)</f>
        <v>8</v>
      </c>
      <c r="K125">
        <v>850</v>
      </c>
      <c r="L125" t="str">
        <f>VLOOKUP(H125,Descriptions!A:B, 2, FALSE)</f>
        <v>Seating Cat. 1</v>
      </c>
      <c r="M125">
        <f t="shared" ca="1" si="3"/>
        <v>-2274</v>
      </c>
      <c r="O125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17-SC1Fla-Edi18/7</v>
      </c>
    </row>
    <row r="126" spans="1:15" x14ac:dyDescent="0.35">
      <c r="A126" t="s">
        <v>14</v>
      </c>
      <c r="B126" t="s">
        <v>56</v>
      </c>
      <c r="C126" s="1">
        <v>42934</v>
      </c>
      <c r="D126" t="s">
        <v>3</v>
      </c>
      <c r="E126" s="7">
        <v>87</v>
      </c>
      <c r="F126" s="7">
        <f>IFERROR(VLOOKUP(E126,Margins!$A:$B,2,TRUE),"")</f>
        <v>0.1</v>
      </c>
      <c r="G126" s="7">
        <f t="shared" si="2"/>
        <v>3654.0000000000005</v>
      </c>
      <c r="H126" t="s">
        <v>63</v>
      </c>
      <c r="I126">
        <v>420</v>
      </c>
      <c r="J126">
        <f>IF(Table1[[#This Row],[Tickets Sold]]&gt;500,8,5)</f>
        <v>5</v>
      </c>
      <c r="K126">
        <v>353</v>
      </c>
      <c r="L126" t="str">
        <f>VLOOKUP(H126,Descriptions!A:B, 2, FALSE)</f>
        <v>Seating Cat. 2</v>
      </c>
      <c r="M126">
        <f t="shared" ca="1" si="3"/>
        <v>-2274</v>
      </c>
      <c r="O126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17-SC2Fla-Edi18/7</v>
      </c>
    </row>
    <row r="127" spans="1:15" x14ac:dyDescent="0.35">
      <c r="A127" t="s">
        <v>14</v>
      </c>
      <c r="B127" t="s">
        <v>53</v>
      </c>
      <c r="C127" s="1">
        <v>42942</v>
      </c>
      <c r="D127" t="s">
        <v>3</v>
      </c>
      <c r="E127" s="7">
        <v>45</v>
      </c>
      <c r="F127" s="7">
        <f>IFERROR(VLOOKUP(E127,Margins!$A:$B,2,TRUE),"")</f>
        <v>7.0000000000000007E-2</v>
      </c>
      <c r="G127" s="7">
        <f t="shared" si="2"/>
        <v>2362.5000000000005</v>
      </c>
      <c r="H127" t="s">
        <v>62</v>
      </c>
      <c r="I127">
        <v>750</v>
      </c>
      <c r="J127">
        <f>IF(Table1[[#This Row],[Tickets Sold]]&gt;500,8,5)</f>
        <v>8</v>
      </c>
      <c r="K127">
        <v>615</v>
      </c>
      <c r="L127" t="str">
        <f>VLOOKUP(H127,Descriptions!A:B, 2, FALSE)</f>
        <v>Seating Cat. 1</v>
      </c>
      <c r="M127">
        <f t="shared" ca="1" si="3"/>
        <v>-2268</v>
      </c>
      <c r="O127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17-SC1Fla-Ham26/7</v>
      </c>
    </row>
    <row r="128" spans="1:15" x14ac:dyDescent="0.35">
      <c r="A128" t="s">
        <v>14</v>
      </c>
      <c r="B128" t="s">
        <v>53</v>
      </c>
      <c r="C128" s="1">
        <v>42942</v>
      </c>
      <c r="D128" t="s">
        <v>3</v>
      </c>
      <c r="E128" s="7">
        <v>106</v>
      </c>
      <c r="F128" s="7">
        <f>IFERROR(VLOOKUP(E128,Margins!$A:$B,2,TRUE),"")</f>
        <v>0.15</v>
      </c>
      <c r="G128" s="7">
        <f t="shared" si="2"/>
        <v>3815.9999999999995</v>
      </c>
      <c r="H128" t="s">
        <v>63</v>
      </c>
      <c r="I128">
        <v>240</v>
      </c>
      <c r="J128">
        <f>IF(Table1[[#This Row],[Tickets Sold]]&gt;500,8,5)</f>
        <v>5</v>
      </c>
      <c r="K128">
        <v>212</v>
      </c>
      <c r="L128" t="str">
        <f>VLOOKUP(H128,Descriptions!A:B, 2, FALSE)</f>
        <v>Seating Cat. 2</v>
      </c>
      <c r="M128">
        <f t="shared" ca="1" si="3"/>
        <v>-2268</v>
      </c>
      <c r="O128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17-SC2Fla-Ham26/7</v>
      </c>
    </row>
    <row r="129" spans="1:15" x14ac:dyDescent="0.35">
      <c r="A129" t="s">
        <v>14</v>
      </c>
      <c r="B129" t="s">
        <v>50</v>
      </c>
      <c r="C129" s="1">
        <v>42971</v>
      </c>
      <c r="D129" t="s">
        <v>3</v>
      </c>
      <c r="E129" s="7">
        <v>39</v>
      </c>
      <c r="F129" s="7">
        <f>IFERROR(VLOOKUP(E129,Margins!$A:$B,2,TRUE),"")</f>
        <v>7.0000000000000007E-2</v>
      </c>
      <c r="G129" s="7">
        <f t="shared" si="2"/>
        <v>2211.3000000000002</v>
      </c>
      <c r="H129" t="s">
        <v>62</v>
      </c>
      <c r="I129">
        <v>810</v>
      </c>
      <c r="J129">
        <f>IF(Table1[[#This Row],[Tickets Sold]]&gt;500,8,5)</f>
        <v>8</v>
      </c>
      <c r="K129">
        <v>738</v>
      </c>
      <c r="L129" t="str">
        <f>VLOOKUP(H129,Descriptions!A:B, 2, FALSE)</f>
        <v>Seating Cat. 1</v>
      </c>
      <c r="M129">
        <f t="shared" ca="1" si="3"/>
        <v>-2247</v>
      </c>
      <c r="O129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17-SC1Fla-Lyo24/8</v>
      </c>
    </row>
    <row r="130" spans="1:15" x14ac:dyDescent="0.35">
      <c r="A130" t="s">
        <v>14</v>
      </c>
      <c r="B130" t="s">
        <v>50</v>
      </c>
      <c r="C130" s="1">
        <v>42971</v>
      </c>
      <c r="D130" t="s">
        <v>3</v>
      </c>
      <c r="E130" s="7">
        <v>74</v>
      </c>
      <c r="F130" s="7">
        <f>IFERROR(VLOOKUP(E130,Margins!$A:$B,2,TRUE),"")</f>
        <v>0.1</v>
      </c>
      <c r="G130" s="7">
        <f t="shared" ref="G130:G193" si="4">IFERROR(E130*F130*I130,"")</f>
        <v>1850</v>
      </c>
      <c r="H130" t="s">
        <v>63</v>
      </c>
      <c r="I130">
        <v>250</v>
      </c>
      <c r="J130">
        <f>IF(Table1[[#This Row],[Tickets Sold]]&gt;500,8,5)</f>
        <v>5</v>
      </c>
      <c r="K130">
        <v>163</v>
      </c>
      <c r="L130" t="str">
        <f>VLOOKUP(H130,Descriptions!A:B, 2, FALSE)</f>
        <v>Seating Cat. 2</v>
      </c>
      <c r="M130">
        <f t="shared" ref="M130:M193" ca="1" si="5">NETWORKDAYS(TODAY(), C130-1)</f>
        <v>-2247</v>
      </c>
      <c r="O130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17-SC2Fla-Lyo24/8</v>
      </c>
    </row>
    <row r="131" spans="1:15" x14ac:dyDescent="0.35">
      <c r="A131" t="s">
        <v>23</v>
      </c>
      <c r="B131" t="s">
        <v>30</v>
      </c>
      <c r="C131" s="1">
        <v>42910</v>
      </c>
      <c r="D131" t="s">
        <v>81</v>
      </c>
      <c r="E131" s="7">
        <v>74</v>
      </c>
      <c r="F131" s="7">
        <f>IFERROR(VLOOKUP(E131,Margins!$A:$B,2,TRUE),"")</f>
        <v>0.1</v>
      </c>
      <c r="G131" s="7">
        <f t="shared" si="4"/>
        <v>7400</v>
      </c>
      <c r="H131" t="s">
        <v>62</v>
      </c>
      <c r="I131">
        <v>1000</v>
      </c>
      <c r="J131">
        <f>IF(Table1[[#This Row],[Tickets Sold]]&gt;500,8,5)</f>
        <v>8</v>
      </c>
      <c r="K131">
        <v>560</v>
      </c>
      <c r="L131" t="str">
        <f>VLOOKUP(H131,Descriptions!A:B, 2, FALSE)</f>
        <v>Seating Cat. 1</v>
      </c>
      <c r="M131">
        <f t="shared" ca="1" si="5"/>
        <v>-2290</v>
      </c>
      <c r="O131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17-SC1Il -Ams24/6</v>
      </c>
    </row>
    <row r="132" spans="1:15" x14ac:dyDescent="0.35">
      <c r="A132" t="s">
        <v>23</v>
      </c>
      <c r="B132" t="s">
        <v>30</v>
      </c>
      <c r="C132" s="1">
        <v>42910</v>
      </c>
      <c r="D132" t="s">
        <v>81</v>
      </c>
      <c r="E132" s="7">
        <v>77</v>
      </c>
      <c r="F132" s="7">
        <f>IFERROR(VLOOKUP(E132,Margins!$A:$B,2,TRUE),"")</f>
        <v>0.1</v>
      </c>
      <c r="G132" s="7">
        <f t="shared" si="4"/>
        <v>3850</v>
      </c>
      <c r="H132" t="s">
        <v>63</v>
      </c>
      <c r="I132">
        <v>500</v>
      </c>
      <c r="J132">
        <f>IF(Table1[[#This Row],[Tickets Sold]]&gt;500,8,5)</f>
        <v>5</v>
      </c>
      <c r="K132">
        <v>255</v>
      </c>
      <c r="L132" t="str">
        <f>VLOOKUP(H132,Descriptions!A:B, 2, FALSE)</f>
        <v>Seating Cat. 2</v>
      </c>
      <c r="M132">
        <f t="shared" ca="1" si="5"/>
        <v>-2290</v>
      </c>
      <c r="O132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17-SC2Il -Ams24/6</v>
      </c>
    </row>
    <row r="133" spans="1:15" x14ac:dyDescent="0.35">
      <c r="A133" t="s">
        <v>23</v>
      </c>
      <c r="B133" t="s">
        <v>30</v>
      </c>
      <c r="C133" s="1">
        <v>42910</v>
      </c>
      <c r="D133" t="s">
        <v>81</v>
      </c>
      <c r="E133" s="7">
        <v>136</v>
      </c>
      <c r="F133" s="7">
        <f>IFERROR(VLOOKUP(E133,Margins!$A:$B,2,TRUE),"")</f>
        <v>0.15</v>
      </c>
      <c r="G133" s="7">
        <f t="shared" si="4"/>
        <v>10200</v>
      </c>
      <c r="H133" t="s">
        <v>64</v>
      </c>
      <c r="I133">
        <v>500</v>
      </c>
      <c r="J133">
        <f>IF(Table1[[#This Row],[Tickets Sold]]&gt;500,8,5)</f>
        <v>5</v>
      </c>
      <c r="K133">
        <v>400</v>
      </c>
      <c r="L133" t="str">
        <f>VLOOKUP(H133,Descriptions!A:B, 2, FALSE)</f>
        <v>Seating Cat. 3</v>
      </c>
      <c r="M133">
        <f t="shared" ca="1" si="5"/>
        <v>-2290</v>
      </c>
      <c r="O133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17-SC3Il -Ams24/6</v>
      </c>
    </row>
    <row r="134" spans="1:15" x14ac:dyDescent="0.35">
      <c r="A134" t="s">
        <v>23</v>
      </c>
      <c r="B134" t="s">
        <v>30</v>
      </c>
      <c r="C134" s="1">
        <v>42910</v>
      </c>
      <c r="D134" t="s">
        <v>81</v>
      </c>
      <c r="E134" s="7">
        <v>195</v>
      </c>
      <c r="F134" s="7">
        <f>IFERROR(VLOOKUP(E134,Margins!$A:$B,2,TRUE),"")</f>
        <v>0.15</v>
      </c>
      <c r="G134" s="7">
        <f t="shared" si="4"/>
        <v>8775</v>
      </c>
      <c r="H134" t="s">
        <v>65</v>
      </c>
      <c r="I134">
        <v>300</v>
      </c>
      <c r="J134">
        <f>IF(Table1[[#This Row],[Tickets Sold]]&gt;500,8,5)</f>
        <v>5</v>
      </c>
      <c r="K134">
        <v>261</v>
      </c>
      <c r="L134" t="str">
        <f>VLOOKUP(H134,Descriptions!A:B, 2, FALSE)</f>
        <v>Ticket + Air travel Package</v>
      </c>
      <c r="M134">
        <f t="shared" ca="1" si="5"/>
        <v>-2290</v>
      </c>
      <c r="O134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17-TA1Il -Ams24/6</v>
      </c>
    </row>
    <row r="135" spans="1:15" x14ac:dyDescent="0.35">
      <c r="A135" t="s">
        <v>23</v>
      </c>
      <c r="B135" t="s">
        <v>30</v>
      </c>
      <c r="C135" s="1">
        <v>42911</v>
      </c>
      <c r="D135" t="s">
        <v>81</v>
      </c>
      <c r="E135" s="7">
        <v>35</v>
      </c>
      <c r="F135" s="7">
        <f>IFERROR(VLOOKUP(E135,Margins!$A:$B,2,TRUE),"")</f>
        <v>7.0000000000000007E-2</v>
      </c>
      <c r="G135" s="7">
        <f t="shared" si="4"/>
        <v>225.4</v>
      </c>
      <c r="H135" t="s">
        <v>67</v>
      </c>
      <c r="I135">
        <v>92</v>
      </c>
      <c r="J135">
        <f>IF(Table1[[#This Row],[Tickets Sold]]&gt;500,8,5)</f>
        <v>5</v>
      </c>
      <c r="K135">
        <v>56</v>
      </c>
      <c r="L135" t="str">
        <f>VLOOKUP(H135,Descriptions!A:B, 2, FALSE)</f>
        <v>Seating-disabled</v>
      </c>
      <c r="M135">
        <f t="shared" ca="1" si="5"/>
        <v>-2289</v>
      </c>
      <c r="O135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17-SCDIl -Ams25/6</v>
      </c>
    </row>
    <row r="136" spans="1:15" x14ac:dyDescent="0.35">
      <c r="A136" t="s">
        <v>23</v>
      </c>
      <c r="B136" t="s">
        <v>30</v>
      </c>
      <c r="C136" s="1">
        <v>42911</v>
      </c>
      <c r="D136" t="s">
        <v>81</v>
      </c>
      <c r="E136" s="7">
        <v>184</v>
      </c>
      <c r="F136" s="7">
        <f>IFERROR(VLOOKUP(E136,Margins!$A:$B,2,TRUE),"")</f>
        <v>0.15</v>
      </c>
      <c r="G136" s="7">
        <f t="shared" si="4"/>
        <v>8280</v>
      </c>
      <c r="H136" t="s">
        <v>62</v>
      </c>
      <c r="I136">
        <v>300</v>
      </c>
      <c r="J136">
        <f>IF(Table1[[#This Row],[Tickets Sold]]&gt;500,8,5)</f>
        <v>5</v>
      </c>
      <c r="K136">
        <v>225</v>
      </c>
      <c r="L136" t="str">
        <f>VLOOKUP(H136,Descriptions!A:B, 2, FALSE)</f>
        <v>Seating Cat. 1</v>
      </c>
      <c r="M136">
        <f t="shared" ca="1" si="5"/>
        <v>-2289</v>
      </c>
      <c r="O136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17-SC1Il -Ams25/6</v>
      </c>
    </row>
    <row r="137" spans="1:15" x14ac:dyDescent="0.35">
      <c r="A137" t="s">
        <v>23</v>
      </c>
      <c r="B137" t="s">
        <v>30</v>
      </c>
      <c r="C137" s="1">
        <v>42911</v>
      </c>
      <c r="D137" t="s">
        <v>81</v>
      </c>
      <c r="E137" s="7">
        <v>330</v>
      </c>
      <c r="F137" s="7">
        <f>IFERROR(VLOOKUP(E137,Margins!$A:$B,2,TRUE),"")</f>
        <v>0.25</v>
      </c>
      <c r="G137" s="7">
        <f t="shared" si="4"/>
        <v>24750</v>
      </c>
      <c r="H137" t="s">
        <v>63</v>
      </c>
      <c r="I137">
        <v>300</v>
      </c>
      <c r="J137">
        <f>IF(Table1[[#This Row],[Tickets Sold]]&gt;500,8,5)</f>
        <v>5</v>
      </c>
      <c r="K137">
        <v>204</v>
      </c>
      <c r="L137" t="str">
        <f>VLOOKUP(H137,Descriptions!A:B, 2, FALSE)</f>
        <v>Seating Cat. 2</v>
      </c>
      <c r="M137">
        <f t="shared" ca="1" si="5"/>
        <v>-2289</v>
      </c>
      <c r="O137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17-SC2Il -Ams25/6</v>
      </c>
    </row>
    <row r="138" spans="1:15" x14ac:dyDescent="0.35">
      <c r="A138" t="s">
        <v>23</v>
      </c>
      <c r="B138" t="s">
        <v>30</v>
      </c>
      <c r="C138" s="1">
        <v>42911</v>
      </c>
      <c r="D138" t="s">
        <v>81</v>
      </c>
      <c r="E138" s="7">
        <v>353</v>
      </c>
      <c r="F138" s="7">
        <f>IFERROR(VLOOKUP(E138,Margins!$A:$B,2,TRUE),"")</f>
        <v>0.25</v>
      </c>
      <c r="G138" s="7">
        <f t="shared" si="4"/>
        <v>17650</v>
      </c>
      <c r="H138" t="s">
        <v>66</v>
      </c>
      <c r="I138">
        <v>200</v>
      </c>
      <c r="J138">
        <f>IF(Table1[[#This Row],[Tickets Sold]]&gt;500,8,5)</f>
        <v>5</v>
      </c>
      <c r="K138">
        <v>164</v>
      </c>
      <c r="L138" t="str">
        <f>VLOOKUP(H138,Descriptions!A:B, 2, FALSE)</f>
        <v>Ticket + Air travel + Hotel Package</v>
      </c>
      <c r="M138">
        <f t="shared" ca="1" si="5"/>
        <v>-2289</v>
      </c>
      <c r="O138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17-TA2Il -Ams25/6</v>
      </c>
    </row>
    <row r="139" spans="1:15" x14ac:dyDescent="0.35">
      <c r="A139" t="s">
        <v>23</v>
      </c>
      <c r="B139" t="s">
        <v>48</v>
      </c>
      <c r="C139" s="1">
        <v>42918</v>
      </c>
      <c r="D139" t="s">
        <v>81</v>
      </c>
      <c r="E139" s="7">
        <v>74</v>
      </c>
      <c r="F139" s="7">
        <f>IFERROR(VLOOKUP(E139,Margins!$A:$B,2,TRUE),"")</f>
        <v>0.1</v>
      </c>
      <c r="G139" s="7">
        <f t="shared" si="4"/>
        <v>5550</v>
      </c>
      <c r="H139" t="s">
        <v>62</v>
      </c>
      <c r="I139">
        <v>750</v>
      </c>
      <c r="J139">
        <f>IF(Table1[[#This Row],[Tickets Sold]]&gt;500,8,5)</f>
        <v>8</v>
      </c>
      <c r="K139">
        <v>570</v>
      </c>
      <c r="L139" t="str">
        <f>VLOOKUP(H139,Descriptions!A:B, 2, FALSE)</f>
        <v>Seating Cat. 1</v>
      </c>
      <c r="M139">
        <f t="shared" ca="1" si="5"/>
        <v>-2284</v>
      </c>
      <c r="O139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17-SC1Il -Par2/7</v>
      </c>
    </row>
    <row r="140" spans="1:15" x14ac:dyDescent="0.35">
      <c r="A140" t="s">
        <v>23</v>
      </c>
      <c r="B140" t="s">
        <v>48</v>
      </c>
      <c r="C140" s="1">
        <v>42918</v>
      </c>
      <c r="D140" t="s">
        <v>81</v>
      </c>
      <c r="E140" s="7">
        <v>83</v>
      </c>
      <c r="F140" s="7">
        <f>IFERROR(VLOOKUP(E140,Margins!$A:$B,2,TRUE),"")</f>
        <v>0.1</v>
      </c>
      <c r="G140" s="7">
        <f t="shared" si="4"/>
        <v>3486.0000000000005</v>
      </c>
      <c r="H140" t="s">
        <v>63</v>
      </c>
      <c r="I140">
        <v>420</v>
      </c>
      <c r="J140">
        <f>IF(Table1[[#This Row],[Tickets Sold]]&gt;500,8,5)</f>
        <v>5</v>
      </c>
      <c r="K140">
        <v>353</v>
      </c>
      <c r="L140" t="str">
        <f>VLOOKUP(H140,Descriptions!A:B, 2, FALSE)</f>
        <v>Seating Cat. 2</v>
      </c>
      <c r="M140">
        <f t="shared" ca="1" si="5"/>
        <v>-2284</v>
      </c>
      <c r="O140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17-SC2Il -Par2/7</v>
      </c>
    </row>
    <row r="141" spans="1:15" x14ac:dyDescent="0.35">
      <c r="A141" t="s">
        <v>23</v>
      </c>
      <c r="B141" t="s">
        <v>48</v>
      </c>
      <c r="C141" s="1">
        <v>42918</v>
      </c>
      <c r="D141" t="s">
        <v>81</v>
      </c>
      <c r="E141" s="7">
        <v>102</v>
      </c>
      <c r="F141" s="7">
        <f>IFERROR(VLOOKUP(E141,Margins!$A:$B,2,TRUE),"")</f>
        <v>0.15</v>
      </c>
      <c r="G141" s="7">
        <f t="shared" si="4"/>
        <v>3213</v>
      </c>
      <c r="H141" t="s">
        <v>64</v>
      </c>
      <c r="I141">
        <v>210</v>
      </c>
      <c r="J141">
        <f>IF(Table1[[#This Row],[Tickets Sold]]&gt;500,8,5)</f>
        <v>5</v>
      </c>
      <c r="K141">
        <v>160</v>
      </c>
      <c r="L141" t="str">
        <f>VLOOKUP(H141,Descriptions!A:B, 2, FALSE)</f>
        <v>Seating Cat. 3</v>
      </c>
      <c r="M141">
        <f t="shared" ca="1" si="5"/>
        <v>-2284</v>
      </c>
      <c r="O141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17-SC3Il -Par2/7</v>
      </c>
    </row>
    <row r="142" spans="1:15" x14ac:dyDescent="0.35">
      <c r="A142" t="s">
        <v>23</v>
      </c>
      <c r="B142" t="s">
        <v>48</v>
      </c>
      <c r="C142" s="1">
        <v>42918</v>
      </c>
      <c r="D142" t="s">
        <v>81</v>
      </c>
      <c r="E142" s="7">
        <v>287</v>
      </c>
      <c r="F142" s="7">
        <f>IFERROR(VLOOKUP(E142,Margins!$A:$B,2,TRUE),"")</f>
        <v>0.25</v>
      </c>
      <c r="G142" s="7">
        <f t="shared" si="4"/>
        <v>21525</v>
      </c>
      <c r="H142" t="s">
        <v>65</v>
      </c>
      <c r="I142">
        <v>300</v>
      </c>
      <c r="J142">
        <f>IF(Table1[[#This Row],[Tickets Sold]]&gt;500,8,5)</f>
        <v>5</v>
      </c>
      <c r="K142">
        <v>246</v>
      </c>
      <c r="L142" t="str">
        <f>VLOOKUP(H142,Descriptions!A:B, 2, FALSE)</f>
        <v>Ticket + Air travel Package</v>
      </c>
      <c r="M142">
        <f t="shared" ca="1" si="5"/>
        <v>-2284</v>
      </c>
      <c r="O142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17-TA1Il -Par2/7</v>
      </c>
    </row>
    <row r="143" spans="1:15" x14ac:dyDescent="0.35">
      <c r="A143" t="s">
        <v>23</v>
      </c>
      <c r="B143" t="s">
        <v>48</v>
      </c>
      <c r="C143" s="1">
        <v>42918</v>
      </c>
      <c r="D143" t="s">
        <v>81</v>
      </c>
      <c r="E143" s="7">
        <v>23</v>
      </c>
      <c r="F143" s="7">
        <f>IFERROR(VLOOKUP(E143,Margins!$A:$B,2,TRUE),"")</f>
        <v>7.0000000000000007E-2</v>
      </c>
      <c r="G143" s="7">
        <f t="shared" si="4"/>
        <v>82.11</v>
      </c>
      <c r="H143" t="s">
        <v>67</v>
      </c>
      <c r="I143">
        <v>51</v>
      </c>
      <c r="J143">
        <f>IF(Table1[[#This Row],[Tickets Sold]]&gt;500,8,5)</f>
        <v>5</v>
      </c>
      <c r="K143">
        <v>35</v>
      </c>
      <c r="L143" t="str">
        <f>VLOOKUP(H143,Descriptions!A:B, 2, FALSE)</f>
        <v>Seating-disabled</v>
      </c>
      <c r="M143">
        <f t="shared" ca="1" si="5"/>
        <v>-2284</v>
      </c>
      <c r="O143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17-SCDIl -Par2/7</v>
      </c>
    </row>
    <row r="144" spans="1:15" x14ac:dyDescent="0.35">
      <c r="A144" t="s">
        <v>23</v>
      </c>
      <c r="B144" t="s">
        <v>48</v>
      </c>
      <c r="C144" s="1">
        <v>42918</v>
      </c>
      <c r="D144" t="s">
        <v>81</v>
      </c>
      <c r="E144" s="7">
        <v>301</v>
      </c>
      <c r="F144" s="7">
        <f>IFERROR(VLOOKUP(E144,Margins!$A:$B,2,TRUE),"")</f>
        <v>0.25</v>
      </c>
      <c r="G144" s="7">
        <f t="shared" si="4"/>
        <v>22575</v>
      </c>
      <c r="H144" t="s">
        <v>66</v>
      </c>
      <c r="I144">
        <v>300</v>
      </c>
      <c r="J144">
        <f>IF(Table1[[#This Row],[Tickets Sold]]&gt;500,8,5)</f>
        <v>5</v>
      </c>
      <c r="K144">
        <v>186</v>
      </c>
      <c r="L144" t="str">
        <f>VLOOKUP(H144,Descriptions!A:B, 2, FALSE)</f>
        <v>Ticket + Air travel + Hotel Package</v>
      </c>
      <c r="M144">
        <f t="shared" ca="1" si="5"/>
        <v>-2284</v>
      </c>
      <c r="O144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17-TA2Il -Par2/7</v>
      </c>
    </row>
    <row r="145" spans="1:15" x14ac:dyDescent="0.35">
      <c r="A145" t="s">
        <v>23</v>
      </c>
      <c r="B145" t="s">
        <v>51</v>
      </c>
      <c r="C145" s="1">
        <v>42952</v>
      </c>
      <c r="D145" t="s">
        <v>81</v>
      </c>
      <c r="E145" s="7">
        <v>63</v>
      </c>
      <c r="F145" s="7">
        <f>IFERROR(VLOOKUP(E145,Margins!$A:$B,2,TRUE),"")</f>
        <v>0.1</v>
      </c>
      <c r="G145" s="7">
        <f t="shared" si="4"/>
        <v>4044.6000000000004</v>
      </c>
      <c r="H145" t="s">
        <v>62</v>
      </c>
      <c r="I145">
        <v>642</v>
      </c>
      <c r="J145">
        <f>IF(Table1[[#This Row],[Tickets Sold]]&gt;500,8,5)</f>
        <v>8</v>
      </c>
      <c r="K145">
        <v>559</v>
      </c>
      <c r="L145" t="str">
        <f>VLOOKUP(H145,Descriptions!A:B, 2, FALSE)</f>
        <v>Seating Cat. 1</v>
      </c>
      <c r="M145">
        <f t="shared" ca="1" si="5"/>
        <v>-2260</v>
      </c>
      <c r="O145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17-SC1Il -Bar5/8</v>
      </c>
    </row>
    <row r="146" spans="1:15" x14ac:dyDescent="0.35">
      <c r="A146" t="s">
        <v>23</v>
      </c>
      <c r="B146" t="s">
        <v>51</v>
      </c>
      <c r="C146" s="1">
        <v>42952</v>
      </c>
      <c r="D146" t="s">
        <v>81</v>
      </c>
      <c r="E146" s="7">
        <v>83</v>
      </c>
      <c r="F146" s="7">
        <f>IFERROR(VLOOKUP(E146,Margins!$A:$B,2,TRUE),"")</f>
        <v>0.1</v>
      </c>
      <c r="G146" s="7">
        <f t="shared" si="4"/>
        <v>2606.2000000000003</v>
      </c>
      <c r="H146" t="s">
        <v>63</v>
      </c>
      <c r="I146">
        <v>314</v>
      </c>
      <c r="J146">
        <f>IF(Table1[[#This Row],[Tickets Sold]]&gt;500,8,5)</f>
        <v>5</v>
      </c>
      <c r="K146">
        <v>299</v>
      </c>
      <c r="L146" t="str">
        <f>VLOOKUP(H146,Descriptions!A:B, 2, FALSE)</f>
        <v>Seating Cat. 2</v>
      </c>
      <c r="M146">
        <f t="shared" ca="1" si="5"/>
        <v>-2260</v>
      </c>
      <c r="O146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17-SC2Il -Bar5/8</v>
      </c>
    </row>
    <row r="147" spans="1:15" x14ac:dyDescent="0.35">
      <c r="A147" t="s">
        <v>23</v>
      </c>
      <c r="B147" t="s">
        <v>51</v>
      </c>
      <c r="C147" s="1">
        <v>42952</v>
      </c>
      <c r="D147" t="s">
        <v>81</v>
      </c>
      <c r="E147" s="7">
        <v>27</v>
      </c>
      <c r="F147" s="7">
        <f>IFERROR(VLOOKUP(E147,Margins!$A:$B,2,TRUE),"")</f>
        <v>7.0000000000000007E-2</v>
      </c>
      <c r="G147" s="7">
        <f t="shared" si="4"/>
        <v>109.62</v>
      </c>
      <c r="H147" t="s">
        <v>67</v>
      </c>
      <c r="I147">
        <v>58</v>
      </c>
      <c r="J147">
        <f>IF(Table1[[#This Row],[Tickets Sold]]&gt;500,8,5)</f>
        <v>5</v>
      </c>
      <c r="K147">
        <v>38</v>
      </c>
      <c r="L147" t="str">
        <f>VLOOKUP(H147,Descriptions!A:B, 2, FALSE)</f>
        <v>Seating-disabled</v>
      </c>
      <c r="M147">
        <f t="shared" ca="1" si="5"/>
        <v>-2260</v>
      </c>
      <c r="O147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17-SCDIl -Bar5/8</v>
      </c>
    </row>
    <row r="148" spans="1:15" x14ac:dyDescent="0.35">
      <c r="A148" t="s">
        <v>23</v>
      </c>
      <c r="B148" t="s">
        <v>51</v>
      </c>
      <c r="C148" s="1">
        <v>42952</v>
      </c>
      <c r="D148" t="s">
        <v>81</v>
      </c>
      <c r="E148" s="7">
        <v>182</v>
      </c>
      <c r="F148" s="7">
        <f>IFERROR(VLOOKUP(E148,Margins!$A:$B,2,TRUE),"")</f>
        <v>0.15</v>
      </c>
      <c r="G148" s="7">
        <f t="shared" si="4"/>
        <v>8190</v>
      </c>
      <c r="H148" t="s">
        <v>65</v>
      </c>
      <c r="I148">
        <v>300</v>
      </c>
      <c r="J148">
        <f>IF(Table1[[#This Row],[Tickets Sold]]&gt;500,8,5)</f>
        <v>5</v>
      </c>
      <c r="K148">
        <v>282</v>
      </c>
      <c r="L148" t="str">
        <f>VLOOKUP(H148,Descriptions!A:B, 2, FALSE)</f>
        <v>Ticket + Air travel Package</v>
      </c>
      <c r="M148">
        <f t="shared" ca="1" si="5"/>
        <v>-2260</v>
      </c>
      <c r="O148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17-TA1Il -Bar5/8</v>
      </c>
    </row>
    <row r="149" spans="1:15" x14ac:dyDescent="0.35">
      <c r="A149" t="s">
        <v>23</v>
      </c>
      <c r="B149" t="s">
        <v>51</v>
      </c>
      <c r="C149" s="1">
        <v>42952</v>
      </c>
      <c r="D149" t="s">
        <v>81</v>
      </c>
      <c r="E149" s="7">
        <v>325</v>
      </c>
      <c r="F149" s="7">
        <f>IFERROR(VLOOKUP(E149,Margins!$A:$B,2,TRUE),"")</f>
        <v>0.25</v>
      </c>
      <c r="G149" s="7">
        <f t="shared" si="4"/>
        <v>32500</v>
      </c>
      <c r="H149" t="s">
        <v>66</v>
      </c>
      <c r="I149">
        <v>400</v>
      </c>
      <c r="J149">
        <f>IF(Table1[[#This Row],[Tickets Sold]]&gt;500,8,5)</f>
        <v>5</v>
      </c>
      <c r="K149">
        <v>228</v>
      </c>
      <c r="L149" t="str">
        <f>VLOOKUP(H149,Descriptions!A:B, 2, FALSE)</f>
        <v>Ticket + Air travel + Hotel Package</v>
      </c>
      <c r="M149">
        <f t="shared" ca="1" si="5"/>
        <v>-2260</v>
      </c>
      <c r="O149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17-TA2Il -Bar5/8</v>
      </c>
    </row>
    <row r="150" spans="1:15" x14ac:dyDescent="0.35">
      <c r="A150" t="s">
        <v>16</v>
      </c>
      <c r="B150" t="s">
        <v>54</v>
      </c>
      <c r="C150" s="1">
        <v>42911</v>
      </c>
      <c r="D150" t="s">
        <v>79</v>
      </c>
      <c r="E150" s="7">
        <v>68</v>
      </c>
      <c r="F150" s="7">
        <f>IFERROR(VLOOKUP(E150,Margins!$A:$B,2,TRUE),"")</f>
        <v>0.1</v>
      </c>
      <c r="G150" s="7">
        <f t="shared" si="4"/>
        <v>102000.00000000001</v>
      </c>
      <c r="H150" t="s">
        <v>68</v>
      </c>
      <c r="I150">
        <v>15000</v>
      </c>
      <c r="J150">
        <f>IF(Table1[[#This Row],[Tickets Sold]]&gt;500,8,5)</f>
        <v>8</v>
      </c>
      <c r="K150">
        <v>12150</v>
      </c>
      <c r="L150" t="str">
        <f>VLOOKUP(H150,Descriptions!A:B, 2, FALSE)</f>
        <v>General Admission (1 day)</v>
      </c>
      <c r="M150">
        <f t="shared" ca="1" si="5"/>
        <v>-2289</v>
      </c>
      <c r="O150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17-GA1Joe-Ber25/6</v>
      </c>
    </row>
    <row r="151" spans="1:15" x14ac:dyDescent="0.35">
      <c r="A151" t="s">
        <v>16</v>
      </c>
      <c r="B151" t="s">
        <v>54</v>
      </c>
      <c r="C151" s="1">
        <v>42911</v>
      </c>
      <c r="D151" t="s">
        <v>79</v>
      </c>
      <c r="E151" s="7">
        <v>34</v>
      </c>
      <c r="F151" s="7">
        <f>IFERROR(VLOOKUP(E151,Margins!$A:$B,2,TRUE),"")</f>
        <v>7.0000000000000007E-2</v>
      </c>
      <c r="G151" s="7">
        <f t="shared" si="4"/>
        <v>3617.6000000000004</v>
      </c>
      <c r="H151" t="s">
        <v>62</v>
      </c>
      <c r="I151">
        <v>1520</v>
      </c>
      <c r="J151">
        <f>IF(Table1[[#This Row],[Tickets Sold]]&gt;500,8,5)</f>
        <v>8</v>
      </c>
      <c r="K151">
        <v>1001</v>
      </c>
      <c r="L151" t="str">
        <f>VLOOKUP(H151,Descriptions!A:B, 2, FALSE)</f>
        <v>Seating Cat. 1</v>
      </c>
      <c r="M151">
        <f t="shared" ca="1" si="5"/>
        <v>-2289</v>
      </c>
      <c r="O151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17-SC1Joe-Ber25/6</v>
      </c>
    </row>
    <row r="152" spans="1:15" x14ac:dyDescent="0.35">
      <c r="A152" t="s">
        <v>16</v>
      </c>
      <c r="B152" t="s">
        <v>54</v>
      </c>
      <c r="C152" s="1">
        <v>42911</v>
      </c>
      <c r="D152" t="s">
        <v>79</v>
      </c>
      <c r="E152" s="7">
        <v>297</v>
      </c>
      <c r="F152" s="7">
        <f>IFERROR(VLOOKUP(E152,Margins!$A:$B,2,TRUE),"")</f>
        <v>0.25</v>
      </c>
      <c r="G152" s="7">
        <f t="shared" si="4"/>
        <v>29700</v>
      </c>
      <c r="H152" t="s">
        <v>65</v>
      </c>
      <c r="I152">
        <v>400</v>
      </c>
      <c r="J152">
        <f>IF(Table1[[#This Row],[Tickets Sold]]&gt;500,8,5)</f>
        <v>5</v>
      </c>
      <c r="K152">
        <v>312</v>
      </c>
      <c r="L152" t="str">
        <f>VLOOKUP(H152,Descriptions!A:B, 2, FALSE)</f>
        <v>Ticket + Air travel Package</v>
      </c>
      <c r="M152">
        <f t="shared" ca="1" si="5"/>
        <v>-2289</v>
      </c>
      <c r="O152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17-TA1Joe-Ber25/6</v>
      </c>
    </row>
    <row r="153" spans="1:15" x14ac:dyDescent="0.35">
      <c r="A153" t="s">
        <v>16</v>
      </c>
      <c r="B153" t="s">
        <v>54</v>
      </c>
      <c r="C153" s="1">
        <v>42911</v>
      </c>
      <c r="D153" t="s">
        <v>79</v>
      </c>
      <c r="E153" s="7">
        <v>382</v>
      </c>
      <c r="F153" s="7">
        <f>IFERROR(VLOOKUP(E153,Margins!$A:$B,2,TRUE),"")</f>
        <v>0.25</v>
      </c>
      <c r="G153" s="7">
        <f t="shared" si="4"/>
        <v>19100</v>
      </c>
      <c r="H153" t="s">
        <v>66</v>
      </c>
      <c r="I153">
        <v>200</v>
      </c>
      <c r="J153">
        <f>IF(Table1[[#This Row],[Tickets Sold]]&gt;500,8,5)</f>
        <v>5</v>
      </c>
      <c r="K153">
        <v>100</v>
      </c>
      <c r="L153" t="str">
        <f>VLOOKUP(H153,Descriptions!A:B, 2, FALSE)</f>
        <v>Ticket + Air travel + Hotel Package</v>
      </c>
      <c r="M153">
        <f t="shared" ca="1" si="5"/>
        <v>-2289</v>
      </c>
      <c r="O153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17-TA2Joe-Ber25/6</v>
      </c>
    </row>
    <row r="154" spans="1:15" x14ac:dyDescent="0.35">
      <c r="A154" t="s">
        <v>16</v>
      </c>
      <c r="B154" t="s">
        <v>47</v>
      </c>
      <c r="C154" s="1">
        <v>42927</v>
      </c>
      <c r="D154" t="s">
        <v>79</v>
      </c>
      <c r="E154" s="7">
        <v>61</v>
      </c>
      <c r="F154" s="7">
        <f>IFERROR(VLOOKUP(E154,Margins!$A:$B,2,TRUE),"")</f>
        <v>0.1</v>
      </c>
      <c r="G154" s="7">
        <f t="shared" si="4"/>
        <v>76250</v>
      </c>
      <c r="H154" t="s">
        <v>68</v>
      </c>
      <c r="I154">
        <v>12500</v>
      </c>
      <c r="J154">
        <f>IF(Table1[[#This Row],[Tickets Sold]]&gt;500,8,5)</f>
        <v>8</v>
      </c>
      <c r="K154">
        <v>11250</v>
      </c>
      <c r="L154" t="str">
        <f>VLOOKUP(H154,Descriptions!A:B, 2, FALSE)</f>
        <v>General Admission (1 day)</v>
      </c>
      <c r="M154">
        <f t="shared" ca="1" si="5"/>
        <v>-2279</v>
      </c>
      <c r="O154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17-GA1Joe-Sto11/7</v>
      </c>
    </row>
    <row r="155" spans="1:15" x14ac:dyDescent="0.35">
      <c r="A155" t="s">
        <v>16</v>
      </c>
      <c r="B155" t="s">
        <v>51</v>
      </c>
      <c r="C155" s="1">
        <v>42957</v>
      </c>
      <c r="D155" t="s">
        <v>79</v>
      </c>
      <c r="E155" s="7">
        <v>78</v>
      </c>
      <c r="F155" s="7">
        <f>IFERROR(VLOOKUP(E155,Margins!$A:$B,2,TRUE),"")</f>
        <v>0.1</v>
      </c>
      <c r="G155" s="7">
        <f t="shared" si="4"/>
        <v>105222.00000000001</v>
      </c>
      <c r="H155" t="s">
        <v>68</v>
      </c>
      <c r="I155">
        <v>13490</v>
      </c>
      <c r="J155">
        <f>IF(Table1[[#This Row],[Tickets Sold]]&gt;500,8,5)</f>
        <v>8</v>
      </c>
      <c r="K155">
        <v>11467</v>
      </c>
      <c r="L155" t="str">
        <f>VLOOKUP(H155,Descriptions!A:B, 2, FALSE)</f>
        <v>General Admission (1 day)</v>
      </c>
      <c r="M155">
        <f t="shared" ca="1" si="5"/>
        <v>-2257</v>
      </c>
      <c r="O155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17-GA1Joe-Bar10/8</v>
      </c>
    </row>
    <row r="156" spans="1:15" x14ac:dyDescent="0.35">
      <c r="A156" t="s">
        <v>16</v>
      </c>
      <c r="B156" t="s">
        <v>52</v>
      </c>
      <c r="C156" s="1">
        <v>42959</v>
      </c>
      <c r="D156" t="s">
        <v>79</v>
      </c>
      <c r="E156" s="7">
        <v>80</v>
      </c>
      <c r="F156" s="7">
        <f>IFERROR(VLOOKUP(E156,Margins!$A:$B,2,TRUE),"")</f>
        <v>0.1</v>
      </c>
      <c r="G156" s="7">
        <f t="shared" si="4"/>
        <v>102400</v>
      </c>
      <c r="H156" t="s">
        <v>68</v>
      </c>
      <c r="I156">
        <v>12800</v>
      </c>
      <c r="J156">
        <f>IF(Table1[[#This Row],[Tickets Sold]]&gt;500,8,5)</f>
        <v>8</v>
      </c>
      <c r="K156">
        <v>7680</v>
      </c>
      <c r="L156" t="str">
        <f>VLOOKUP(H156,Descriptions!A:B, 2, FALSE)</f>
        <v>General Admission (1 day)</v>
      </c>
      <c r="M156">
        <f t="shared" ca="1" si="5"/>
        <v>-2255</v>
      </c>
      <c r="O156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17-GA1Joe-Lon12/8</v>
      </c>
    </row>
    <row r="157" spans="1:15" x14ac:dyDescent="0.35">
      <c r="A157" t="s">
        <v>16</v>
      </c>
      <c r="B157" t="s">
        <v>52</v>
      </c>
      <c r="C157" s="1">
        <v>42959</v>
      </c>
      <c r="D157" t="s">
        <v>79</v>
      </c>
      <c r="E157" s="7">
        <v>31</v>
      </c>
      <c r="F157" s="7">
        <f>IFERROR(VLOOKUP(E157,Margins!$A:$B,2,TRUE),"")</f>
        <v>7.0000000000000007E-2</v>
      </c>
      <c r="G157" s="7">
        <f t="shared" si="4"/>
        <v>1063.3000000000002</v>
      </c>
      <c r="H157" t="s">
        <v>62</v>
      </c>
      <c r="I157">
        <v>490</v>
      </c>
      <c r="J157">
        <f>IF(Table1[[#This Row],[Tickets Sold]]&gt;500,8,5)</f>
        <v>5</v>
      </c>
      <c r="K157">
        <v>378</v>
      </c>
      <c r="L157" t="str">
        <f>VLOOKUP(H157,Descriptions!A:B, 2, FALSE)</f>
        <v>Seating Cat. 1</v>
      </c>
      <c r="M157">
        <f t="shared" ca="1" si="5"/>
        <v>-2255</v>
      </c>
      <c r="O157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17-SC1Joe-Lon12/8</v>
      </c>
    </row>
    <row r="158" spans="1:15" x14ac:dyDescent="0.35">
      <c r="A158" t="s">
        <v>16</v>
      </c>
      <c r="B158" t="s">
        <v>52</v>
      </c>
      <c r="C158" s="1">
        <v>42959</v>
      </c>
      <c r="D158" t="s">
        <v>79</v>
      </c>
      <c r="E158" s="7">
        <v>190</v>
      </c>
      <c r="F158" s="7">
        <f>IFERROR(VLOOKUP(E158,Margins!$A:$B,2,TRUE),"")</f>
        <v>0.15</v>
      </c>
      <c r="G158" s="7">
        <f t="shared" si="4"/>
        <v>8550</v>
      </c>
      <c r="H158" t="s">
        <v>65</v>
      </c>
      <c r="I158">
        <v>300</v>
      </c>
      <c r="J158">
        <f>IF(Table1[[#This Row],[Tickets Sold]]&gt;500,8,5)</f>
        <v>5</v>
      </c>
      <c r="K158">
        <v>195</v>
      </c>
      <c r="L158" t="str">
        <f>VLOOKUP(H158,Descriptions!A:B, 2, FALSE)</f>
        <v>Ticket + Air travel Package</v>
      </c>
      <c r="M158">
        <f t="shared" ca="1" si="5"/>
        <v>-2255</v>
      </c>
      <c r="O158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17-TA1Joe-Lon12/8</v>
      </c>
    </row>
    <row r="159" spans="1:15" x14ac:dyDescent="0.35">
      <c r="A159" t="s">
        <v>16</v>
      </c>
      <c r="B159" t="s">
        <v>52</v>
      </c>
      <c r="C159" s="1">
        <v>42959</v>
      </c>
      <c r="D159" t="s">
        <v>79</v>
      </c>
      <c r="E159" s="7">
        <v>381</v>
      </c>
      <c r="F159" s="7">
        <f>IFERROR(VLOOKUP(E159,Margins!$A:$B,2,TRUE),"")</f>
        <v>0.25</v>
      </c>
      <c r="G159" s="7">
        <f t="shared" si="4"/>
        <v>38100</v>
      </c>
      <c r="H159" t="s">
        <v>66</v>
      </c>
      <c r="I159">
        <v>400</v>
      </c>
      <c r="J159">
        <f>IF(Table1[[#This Row],[Tickets Sold]]&gt;500,8,5)</f>
        <v>5</v>
      </c>
      <c r="K159">
        <v>336</v>
      </c>
      <c r="L159" t="str">
        <f>VLOOKUP(H159,Descriptions!A:B, 2, FALSE)</f>
        <v>Ticket + Air travel + Hotel Package</v>
      </c>
      <c r="M159">
        <f t="shared" ca="1" si="5"/>
        <v>-2255</v>
      </c>
      <c r="O159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17-TA2Joe-Lon12/8</v>
      </c>
    </row>
    <row r="160" spans="1:15" x14ac:dyDescent="0.35">
      <c r="A160" t="s">
        <v>16</v>
      </c>
      <c r="B160" t="s">
        <v>50</v>
      </c>
      <c r="C160" s="1">
        <v>42971</v>
      </c>
      <c r="D160" t="s">
        <v>79</v>
      </c>
      <c r="E160" s="7">
        <v>65</v>
      </c>
      <c r="F160" s="7">
        <f>IFERROR(VLOOKUP(E160,Margins!$A:$B,2,TRUE),"")</f>
        <v>0.1</v>
      </c>
      <c r="G160" s="7">
        <f t="shared" si="4"/>
        <v>63570</v>
      </c>
      <c r="H160" t="s">
        <v>68</v>
      </c>
      <c r="I160">
        <v>9780</v>
      </c>
      <c r="J160">
        <f>IF(Table1[[#This Row],[Tickets Sold]]&gt;500,8,5)</f>
        <v>8</v>
      </c>
      <c r="K160">
        <v>7727</v>
      </c>
      <c r="L160" t="str">
        <f>VLOOKUP(H160,Descriptions!A:B, 2, FALSE)</f>
        <v>General Admission (1 day)</v>
      </c>
      <c r="M160">
        <f t="shared" ca="1" si="5"/>
        <v>-2247</v>
      </c>
      <c r="O160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17-GA1Joe-Lyo24/8</v>
      </c>
    </row>
    <row r="161" spans="1:15" x14ac:dyDescent="0.35">
      <c r="A161" t="s">
        <v>16</v>
      </c>
      <c r="B161" t="s">
        <v>50</v>
      </c>
      <c r="C161" s="1">
        <v>42971</v>
      </c>
      <c r="D161" t="s">
        <v>79</v>
      </c>
      <c r="E161" s="7">
        <v>80</v>
      </c>
      <c r="F161" s="7">
        <f>IFERROR(VLOOKUP(E161,Margins!$A:$B,2,TRUE),"")</f>
        <v>0.1</v>
      </c>
      <c r="G161" s="7">
        <f t="shared" si="4"/>
        <v>9920</v>
      </c>
      <c r="H161" t="s">
        <v>62</v>
      </c>
      <c r="I161">
        <v>1240</v>
      </c>
      <c r="J161">
        <f>IF(Table1[[#This Row],[Tickets Sold]]&gt;500,8,5)</f>
        <v>8</v>
      </c>
      <c r="K161">
        <v>1116</v>
      </c>
      <c r="L161" t="str">
        <f>VLOOKUP(H161,Descriptions!A:B, 2, FALSE)</f>
        <v>Seating Cat. 1</v>
      </c>
      <c r="M161">
        <f t="shared" ca="1" si="5"/>
        <v>-2247</v>
      </c>
      <c r="O161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17-SC1Joe-Lyo24/8</v>
      </c>
    </row>
    <row r="162" spans="1:15" x14ac:dyDescent="0.35">
      <c r="A162" t="s">
        <v>35</v>
      </c>
      <c r="B162" t="s">
        <v>52</v>
      </c>
      <c r="C162" s="1">
        <v>42936</v>
      </c>
      <c r="D162" t="s">
        <v>80</v>
      </c>
      <c r="E162" s="7">
        <v>78</v>
      </c>
      <c r="F162" s="7">
        <f>IFERROR(VLOOKUP(E162,Margins!$A:$B,2,TRUE),"")</f>
        <v>0.1</v>
      </c>
      <c r="G162" s="7">
        <f t="shared" si="4"/>
        <v>3510.0000000000005</v>
      </c>
      <c r="H162" t="s">
        <v>62</v>
      </c>
      <c r="I162">
        <v>450</v>
      </c>
      <c r="J162">
        <f>IF(Table1[[#This Row],[Tickets Sold]]&gt;500,8,5)</f>
        <v>5</v>
      </c>
      <c r="K162">
        <v>329</v>
      </c>
      <c r="L162" t="str">
        <f>VLOOKUP(H162,Descriptions!A:B, 2, FALSE)</f>
        <v>Seating Cat. 1</v>
      </c>
      <c r="M162">
        <f t="shared" ca="1" si="5"/>
        <v>-2272</v>
      </c>
      <c r="O162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17-SC1Joh-Lon20/7</v>
      </c>
    </row>
    <row r="163" spans="1:15" x14ac:dyDescent="0.35">
      <c r="A163" t="s">
        <v>35</v>
      </c>
      <c r="B163" t="s">
        <v>52</v>
      </c>
      <c r="C163" s="1">
        <v>42936</v>
      </c>
      <c r="D163" t="s">
        <v>80</v>
      </c>
      <c r="E163" s="7">
        <v>91</v>
      </c>
      <c r="F163" s="7">
        <f>IFERROR(VLOOKUP(E163,Margins!$A:$B,2,TRUE),"")</f>
        <v>0.1</v>
      </c>
      <c r="G163" s="7">
        <f t="shared" si="4"/>
        <v>1911</v>
      </c>
      <c r="H163" t="s">
        <v>63</v>
      </c>
      <c r="I163">
        <v>210</v>
      </c>
      <c r="J163">
        <f>IF(Table1[[#This Row],[Tickets Sold]]&gt;500,8,5)</f>
        <v>5</v>
      </c>
      <c r="K163">
        <v>139</v>
      </c>
      <c r="L163" t="str">
        <f>VLOOKUP(H163,Descriptions!A:B, 2, FALSE)</f>
        <v>Seating Cat. 2</v>
      </c>
      <c r="M163">
        <f t="shared" ca="1" si="5"/>
        <v>-2272</v>
      </c>
      <c r="O163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17-SC2Joh-Lon20/7</v>
      </c>
    </row>
    <row r="164" spans="1:15" x14ac:dyDescent="0.35">
      <c r="A164" t="s">
        <v>35</v>
      </c>
      <c r="B164" t="s">
        <v>52</v>
      </c>
      <c r="C164" s="1">
        <v>42936</v>
      </c>
      <c r="D164" t="s">
        <v>80</v>
      </c>
      <c r="E164" s="7">
        <v>178</v>
      </c>
      <c r="F164" s="7">
        <f>IFERROR(VLOOKUP(E164,Margins!$A:$B,2,TRUE),"")</f>
        <v>0.15</v>
      </c>
      <c r="G164" s="7">
        <f t="shared" si="4"/>
        <v>5340</v>
      </c>
      <c r="H164" t="s">
        <v>64</v>
      </c>
      <c r="I164">
        <v>200</v>
      </c>
      <c r="J164">
        <f>IF(Table1[[#This Row],[Tickets Sold]]&gt;500,8,5)</f>
        <v>5</v>
      </c>
      <c r="K164">
        <v>110</v>
      </c>
      <c r="L164" t="str">
        <f>VLOOKUP(H164,Descriptions!A:B, 2, FALSE)</f>
        <v>Seating Cat. 3</v>
      </c>
      <c r="M164">
        <f t="shared" ca="1" si="5"/>
        <v>-2272</v>
      </c>
      <c r="O164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17-SC3Joh-Lon20/7</v>
      </c>
    </row>
    <row r="165" spans="1:15" x14ac:dyDescent="0.35">
      <c r="A165" t="s">
        <v>35</v>
      </c>
      <c r="B165" t="s">
        <v>52</v>
      </c>
      <c r="C165" s="1">
        <v>42936</v>
      </c>
      <c r="D165" t="s">
        <v>80</v>
      </c>
      <c r="E165" s="7">
        <v>200</v>
      </c>
      <c r="F165" s="7">
        <f>IFERROR(VLOOKUP(E165,Margins!$A:$B,2,TRUE),"")</f>
        <v>0.25</v>
      </c>
      <c r="G165" s="7">
        <f t="shared" si="4"/>
        <v>15000</v>
      </c>
      <c r="H165" t="s">
        <v>65</v>
      </c>
      <c r="I165">
        <v>300</v>
      </c>
      <c r="J165">
        <f>IF(Table1[[#This Row],[Tickets Sold]]&gt;500,8,5)</f>
        <v>5</v>
      </c>
      <c r="K165">
        <v>276</v>
      </c>
      <c r="L165" t="str">
        <f>VLOOKUP(H165,Descriptions!A:B, 2, FALSE)</f>
        <v>Ticket + Air travel Package</v>
      </c>
      <c r="M165">
        <f t="shared" ca="1" si="5"/>
        <v>-2272</v>
      </c>
      <c r="O165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17-TA1Joh-Lon20/7</v>
      </c>
    </row>
    <row r="166" spans="1:15" x14ac:dyDescent="0.35">
      <c r="A166" t="s">
        <v>35</v>
      </c>
      <c r="B166" t="s">
        <v>52</v>
      </c>
      <c r="C166" s="1">
        <v>42936</v>
      </c>
      <c r="D166" t="s">
        <v>80</v>
      </c>
      <c r="E166" s="7">
        <v>359</v>
      </c>
      <c r="F166" s="7">
        <f>IFERROR(VLOOKUP(E166,Margins!$A:$B,2,TRUE),"")</f>
        <v>0.25</v>
      </c>
      <c r="G166" s="7">
        <f t="shared" si="4"/>
        <v>35900</v>
      </c>
      <c r="H166" t="s">
        <v>66</v>
      </c>
      <c r="I166">
        <v>400</v>
      </c>
      <c r="J166">
        <f>IF(Table1[[#This Row],[Tickets Sold]]&gt;500,8,5)</f>
        <v>5</v>
      </c>
      <c r="K166">
        <v>244</v>
      </c>
      <c r="L166" t="str">
        <f>VLOOKUP(H166,Descriptions!A:B, 2, FALSE)</f>
        <v>Ticket + Air travel + Hotel Package</v>
      </c>
      <c r="M166">
        <f t="shared" ca="1" si="5"/>
        <v>-2272</v>
      </c>
      <c r="O166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17-TA2Joh-Lon20/7</v>
      </c>
    </row>
    <row r="167" spans="1:15" x14ac:dyDescent="0.35">
      <c r="A167" t="s">
        <v>35</v>
      </c>
      <c r="B167" t="s">
        <v>56</v>
      </c>
      <c r="C167" s="1">
        <v>42939</v>
      </c>
      <c r="D167" t="s">
        <v>80</v>
      </c>
      <c r="E167" s="7">
        <v>67</v>
      </c>
      <c r="F167" s="7">
        <f>IFERROR(VLOOKUP(E167,Margins!$A:$B,2,TRUE),"")</f>
        <v>0.1</v>
      </c>
      <c r="G167" s="7">
        <f t="shared" si="4"/>
        <v>3216</v>
      </c>
      <c r="H167" t="s">
        <v>62</v>
      </c>
      <c r="I167">
        <v>480</v>
      </c>
      <c r="J167">
        <f>IF(Table1[[#This Row],[Tickets Sold]]&gt;500,8,5)</f>
        <v>5</v>
      </c>
      <c r="K167">
        <v>317</v>
      </c>
      <c r="L167" t="str">
        <f>VLOOKUP(H167,Descriptions!A:B, 2, FALSE)</f>
        <v>Seating Cat. 1</v>
      </c>
      <c r="M167">
        <f t="shared" ca="1" si="5"/>
        <v>-2269</v>
      </c>
      <c r="O167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17-SC1Joh-Edi23/7</v>
      </c>
    </row>
    <row r="168" spans="1:15" x14ac:dyDescent="0.35">
      <c r="A168" t="s">
        <v>35</v>
      </c>
      <c r="B168" t="s">
        <v>56</v>
      </c>
      <c r="C168" s="1">
        <v>42939</v>
      </c>
      <c r="D168" t="s">
        <v>80</v>
      </c>
      <c r="E168" s="7">
        <v>70</v>
      </c>
      <c r="F168" s="7">
        <f>IFERROR(VLOOKUP(E168,Margins!$A:$B,2,TRUE),"")</f>
        <v>0.1</v>
      </c>
      <c r="G168" s="7">
        <f t="shared" si="4"/>
        <v>1750</v>
      </c>
      <c r="H168" t="s">
        <v>63</v>
      </c>
      <c r="I168">
        <v>250</v>
      </c>
      <c r="J168">
        <f>IF(Table1[[#This Row],[Tickets Sold]]&gt;500,8,5)</f>
        <v>5</v>
      </c>
      <c r="K168">
        <v>148</v>
      </c>
      <c r="L168" t="str">
        <f>VLOOKUP(H168,Descriptions!A:B, 2, FALSE)</f>
        <v>Seating Cat. 2</v>
      </c>
      <c r="M168">
        <f t="shared" ca="1" si="5"/>
        <v>-2269</v>
      </c>
      <c r="O168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17-SC2Joh-Edi23/7</v>
      </c>
    </row>
    <row r="169" spans="1:15" x14ac:dyDescent="0.35">
      <c r="A169" t="s">
        <v>35</v>
      </c>
      <c r="B169" t="s">
        <v>56</v>
      </c>
      <c r="C169" s="1">
        <v>42939</v>
      </c>
      <c r="D169" t="s">
        <v>80</v>
      </c>
      <c r="E169" s="7">
        <v>146</v>
      </c>
      <c r="F169" s="7">
        <f>IFERROR(VLOOKUP(E169,Margins!$A:$B,2,TRUE),"")</f>
        <v>0.15</v>
      </c>
      <c r="G169" s="7">
        <f t="shared" si="4"/>
        <v>2409</v>
      </c>
      <c r="H169" t="s">
        <v>64</v>
      </c>
      <c r="I169">
        <v>110</v>
      </c>
      <c r="J169">
        <f>IF(Table1[[#This Row],[Tickets Sold]]&gt;500,8,5)</f>
        <v>5</v>
      </c>
      <c r="K169">
        <v>104</v>
      </c>
      <c r="L169" t="str">
        <f>VLOOKUP(H169,Descriptions!A:B, 2, FALSE)</f>
        <v>Seating Cat. 3</v>
      </c>
      <c r="M169">
        <f t="shared" ca="1" si="5"/>
        <v>-2269</v>
      </c>
      <c r="O169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17-SC3Joh-Edi23/7</v>
      </c>
    </row>
    <row r="170" spans="1:15" x14ac:dyDescent="0.35">
      <c r="A170" t="s">
        <v>35</v>
      </c>
      <c r="B170" t="s">
        <v>56</v>
      </c>
      <c r="C170" s="1">
        <v>42939</v>
      </c>
      <c r="D170" t="s">
        <v>80</v>
      </c>
      <c r="E170" s="7">
        <v>190</v>
      </c>
      <c r="F170" s="7">
        <f>IFERROR(VLOOKUP(E170,Margins!$A:$B,2,TRUE),"")</f>
        <v>0.15</v>
      </c>
      <c r="G170" s="7">
        <f t="shared" si="4"/>
        <v>8550</v>
      </c>
      <c r="H170" t="s">
        <v>65</v>
      </c>
      <c r="I170">
        <v>300</v>
      </c>
      <c r="J170">
        <f>IF(Table1[[#This Row],[Tickets Sold]]&gt;500,8,5)</f>
        <v>5</v>
      </c>
      <c r="K170">
        <v>270</v>
      </c>
      <c r="L170" t="str">
        <f>VLOOKUP(H170,Descriptions!A:B, 2, FALSE)</f>
        <v>Ticket + Air travel Package</v>
      </c>
      <c r="M170">
        <f t="shared" ca="1" si="5"/>
        <v>-2269</v>
      </c>
      <c r="O170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17-TA1Joh-Edi23/7</v>
      </c>
    </row>
    <row r="171" spans="1:15" x14ac:dyDescent="0.35">
      <c r="A171" t="s">
        <v>35</v>
      </c>
      <c r="B171" t="s">
        <v>56</v>
      </c>
      <c r="C171" s="1">
        <v>42939</v>
      </c>
      <c r="D171" t="s">
        <v>80</v>
      </c>
      <c r="E171" s="7">
        <v>369</v>
      </c>
      <c r="F171" s="7">
        <f>IFERROR(VLOOKUP(E171,Margins!$A:$B,2,TRUE),"")</f>
        <v>0.25</v>
      </c>
      <c r="G171" s="7">
        <f t="shared" si="4"/>
        <v>27675</v>
      </c>
      <c r="H171" t="s">
        <v>66</v>
      </c>
      <c r="I171">
        <v>300</v>
      </c>
      <c r="J171">
        <f>IF(Table1[[#This Row],[Tickets Sold]]&gt;500,8,5)</f>
        <v>5</v>
      </c>
      <c r="K171">
        <v>156</v>
      </c>
      <c r="L171" t="str">
        <f>VLOOKUP(H171,Descriptions!A:B, 2, FALSE)</f>
        <v>Ticket + Air travel + Hotel Package</v>
      </c>
      <c r="M171">
        <f t="shared" ca="1" si="5"/>
        <v>-2269</v>
      </c>
      <c r="O171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17-TA2Joh-Edi23/7</v>
      </c>
    </row>
    <row r="172" spans="1:15" x14ac:dyDescent="0.35">
      <c r="A172" t="s">
        <v>35</v>
      </c>
      <c r="B172" t="s">
        <v>47</v>
      </c>
      <c r="C172" s="1">
        <v>42941</v>
      </c>
      <c r="D172" t="s">
        <v>80</v>
      </c>
      <c r="E172" s="7">
        <v>58</v>
      </c>
      <c r="F172" s="7">
        <f>IFERROR(VLOOKUP(E172,Margins!$A:$B,2,TRUE),"")</f>
        <v>0.1</v>
      </c>
      <c r="G172" s="7">
        <f t="shared" si="4"/>
        <v>2262.0000000000005</v>
      </c>
      <c r="H172" t="s">
        <v>62</v>
      </c>
      <c r="I172">
        <v>390</v>
      </c>
      <c r="J172">
        <f>IF(Table1[[#This Row],[Tickets Sold]]&gt;500,8,5)</f>
        <v>5</v>
      </c>
      <c r="K172">
        <v>289</v>
      </c>
      <c r="L172" t="str">
        <f>VLOOKUP(H172,Descriptions!A:B, 2, FALSE)</f>
        <v>Seating Cat. 1</v>
      </c>
      <c r="M172">
        <f t="shared" ca="1" si="5"/>
        <v>-2269</v>
      </c>
      <c r="O172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17-SC1Joh-Sto25/7</v>
      </c>
    </row>
    <row r="173" spans="1:15" x14ac:dyDescent="0.35">
      <c r="A173" t="s">
        <v>35</v>
      </c>
      <c r="B173" t="s">
        <v>47</v>
      </c>
      <c r="C173" s="1">
        <v>42941</v>
      </c>
      <c r="D173" t="s">
        <v>80</v>
      </c>
      <c r="E173" s="7">
        <v>97</v>
      </c>
      <c r="F173" s="7">
        <f>IFERROR(VLOOKUP(E173,Margins!$A:$B,2,TRUE),"")</f>
        <v>0.1</v>
      </c>
      <c r="G173" s="7">
        <f t="shared" si="4"/>
        <v>2182.5000000000005</v>
      </c>
      <c r="H173" t="s">
        <v>63</v>
      </c>
      <c r="I173">
        <v>225</v>
      </c>
      <c r="J173">
        <f>IF(Table1[[#This Row],[Tickets Sold]]&gt;500,8,5)</f>
        <v>5</v>
      </c>
      <c r="K173">
        <v>167</v>
      </c>
      <c r="L173" t="str">
        <f>VLOOKUP(H173,Descriptions!A:B, 2, FALSE)</f>
        <v>Seating Cat. 2</v>
      </c>
      <c r="M173">
        <f t="shared" ca="1" si="5"/>
        <v>-2269</v>
      </c>
      <c r="O173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17-SC2Joh-Sto25/7</v>
      </c>
    </row>
    <row r="174" spans="1:15" x14ac:dyDescent="0.35">
      <c r="A174" t="s">
        <v>35</v>
      </c>
      <c r="B174" t="s">
        <v>47</v>
      </c>
      <c r="C174" s="1">
        <v>42941</v>
      </c>
      <c r="D174" t="s">
        <v>80</v>
      </c>
      <c r="E174" s="7">
        <v>119</v>
      </c>
      <c r="F174" s="7">
        <f>IFERROR(VLOOKUP(E174,Margins!$A:$B,2,TRUE),"")</f>
        <v>0.15</v>
      </c>
      <c r="G174" s="7">
        <f t="shared" si="4"/>
        <v>3569.9999999999995</v>
      </c>
      <c r="H174" t="s">
        <v>64</v>
      </c>
      <c r="I174">
        <v>200</v>
      </c>
      <c r="J174">
        <f>IF(Table1[[#This Row],[Tickets Sold]]&gt;500,8,5)</f>
        <v>5</v>
      </c>
      <c r="K174">
        <v>186</v>
      </c>
      <c r="L174" t="str">
        <f>VLOOKUP(H174,Descriptions!A:B, 2, FALSE)</f>
        <v>Seating Cat. 3</v>
      </c>
      <c r="M174">
        <f t="shared" ca="1" si="5"/>
        <v>-2269</v>
      </c>
      <c r="O174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17-SC3Joh-Sto25/7</v>
      </c>
    </row>
    <row r="175" spans="1:15" x14ac:dyDescent="0.35">
      <c r="A175" t="s">
        <v>35</v>
      </c>
      <c r="B175" t="s">
        <v>47</v>
      </c>
      <c r="C175" s="1">
        <v>42941</v>
      </c>
      <c r="D175" t="s">
        <v>80</v>
      </c>
      <c r="E175" s="7">
        <v>221</v>
      </c>
      <c r="F175" s="7">
        <f>IFERROR(VLOOKUP(E175,Margins!$A:$B,2,TRUE),"")</f>
        <v>0.25</v>
      </c>
      <c r="G175" s="7">
        <f t="shared" si="4"/>
        <v>11050</v>
      </c>
      <c r="H175" t="s">
        <v>65</v>
      </c>
      <c r="I175">
        <v>200</v>
      </c>
      <c r="J175">
        <f>IF(Table1[[#This Row],[Tickets Sold]]&gt;500,8,5)</f>
        <v>5</v>
      </c>
      <c r="K175">
        <v>174</v>
      </c>
      <c r="L175" t="str">
        <f>VLOOKUP(H175,Descriptions!A:B, 2, FALSE)</f>
        <v>Ticket + Air travel Package</v>
      </c>
      <c r="M175">
        <f t="shared" ca="1" si="5"/>
        <v>-2269</v>
      </c>
      <c r="O175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17-TA1Joh-Sto25/7</v>
      </c>
    </row>
    <row r="176" spans="1:15" x14ac:dyDescent="0.35">
      <c r="A176" t="s">
        <v>35</v>
      </c>
      <c r="B176" t="s">
        <v>47</v>
      </c>
      <c r="C176" s="1">
        <v>42941</v>
      </c>
      <c r="D176" t="s">
        <v>80</v>
      </c>
      <c r="E176" s="7">
        <v>335</v>
      </c>
      <c r="F176" s="7">
        <f>IFERROR(VLOOKUP(E176,Margins!$A:$B,2,TRUE),"")</f>
        <v>0.25</v>
      </c>
      <c r="G176" s="7">
        <f t="shared" si="4"/>
        <v>33500</v>
      </c>
      <c r="H176" t="s">
        <v>66</v>
      </c>
      <c r="I176">
        <v>400</v>
      </c>
      <c r="J176">
        <f>IF(Table1[[#This Row],[Tickets Sold]]&gt;500,8,5)</f>
        <v>5</v>
      </c>
      <c r="K176">
        <v>356</v>
      </c>
      <c r="L176" t="str">
        <f>VLOOKUP(H176,Descriptions!A:B, 2, FALSE)</f>
        <v>Ticket + Air travel + Hotel Package</v>
      </c>
      <c r="M176">
        <f t="shared" ca="1" si="5"/>
        <v>-2269</v>
      </c>
      <c r="O176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17-TA2Joh-Sto25/7</v>
      </c>
    </row>
    <row r="177" spans="1:15" x14ac:dyDescent="0.35">
      <c r="A177" t="s">
        <v>27</v>
      </c>
      <c r="B177" t="s">
        <v>52</v>
      </c>
      <c r="C177" s="1">
        <v>42888</v>
      </c>
      <c r="D177" t="s">
        <v>81</v>
      </c>
      <c r="E177" s="7">
        <v>43</v>
      </c>
      <c r="F177" s="7">
        <f>IFERROR(VLOOKUP(E177,Margins!$A:$B,2,TRUE),"")</f>
        <v>7.0000000000000007E-2</v>
      </c>
      <c r="G177" s="7">
        <f t="shared" si="4"/>
        <v>2046.8000000000002</v>
      </c>
      <c r="H177" t="s">
        <v>62</v>
      </c>
      <c r="I177">
        <v>680</v>
      </c>
      <c r="J177">
        <f>IF(Table1[[#This Row],[Tickets Sold]]&gt;500,8,5)</f>
        <v>5</v>
      </c>
      <c r="K177">
        <v>340</v>
      </c>
      <c r="L177" t="str">
        <f>VLOOKUP(H177,Descriptions!A:B, 2, FALSE)</f>
        <v>Seating Cat. 1</v>
      </c>
      <c r="M177">
        <f t="shared" ca="1" si="5"/>
        <v>-2306</v>
      </c>
      <c r="O177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17-SC1Lo -Lon2/6</v>
      </c>
    </row>
    <row r="178" spans="1:15" x14ac:dyDescent="0.35">
      <c r="A178" t="s">
        <v>27</v>
      </c>
      <c r="B178" t="s">
        <v>52</v>
      </c>
      <c r="C178" s="1">
        <v>42888</v>
      </c>
      <c r="D178" t="s">
        <v>81</v>
      </c>
      <c r="E178" s="7">
        <v>110</v>
      </c>
      <c r="F178" s="7">
        <f>IFERROR(VLOOKUP(E178,Margins!$A:$B,2,TRUE),"")</f>
        <v>0.15</v>
      </c>
      <c r="G178" s="7">
        <f t="shared" si="4"/>
        <v>4125</v>
      </c>
      <c r="H178" t="s">
        <v>63</v>
      </c>
      <c r="I178">
        <v>250</v>
      </c>
      <c r="J178">
        <f>IF(Table1[[#This Row],[Tickets Sold]]&gt;500,8,5)</f>
        <v>5</v>
      </c>
      <c r="K178">
        <v>228</v>
      </c>
      <c r="L178" t="str">
        <f>VLOOKUP(H178,Descriptions!A:B, 2, FALSE)</f>
        <v>Seating Cat. 2</v>
      </c>
      <c r="M178">
        <f t="shared" ca="1" si="5"/>
        <v>-2306</v>
      </c>
      <c r="O178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17-SC2Lo -Lon2/6</v>
      </c>
    </row>
    <row r="179" spans="1:15" x14ac:dyDescent="0.35">
      <c r="A179" t="s">
        <v>27</v>
      </c>
      <c r="B179" t="s">
        <v>52</v>
      </c>
      <c r="C179" s="1">
        <v>42888</v>
      </c>
      <c r="D179" t="s">
        <v>81</v>
      </c>
      <c r="E179" s="7">
        <v>113</v>
      </c>
      <c r="F179" s="7">
        <f>IFERROR(VLOOKUP(E179,Margins!$A:$B,2,TRUE),"")</f>
        <v>0.15</v>
      </c>
      <c r="G179" s="7">
        <f t="shared" si="4"/>
        <v>3390</v>
      </c>
      <c r="H179" t="s">
        <v>64</v>
      </c>
      <c r="I179">
        <v>200</v>
      </c>
      <c r="J179">
        <f>IF(Table1[[#This Row],[Tickets Sold]]&gt;500,8,5)</f>
        <v>5</v>
      </c>
      <c r="K179">
        <v>132</v>
      </c>
      <c r="L179" t="str">
        <f>VLOOKUP(H179,Descriptions!A:B, 2, FALSE)</f>
        <v>Seating Cat. 3</v>
      </c>
      <c r="M179">
        <f t="shared" ca="1" si="5"/>
        <v>-2306</v>
      </c>
      <c r="O179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17-SC3Lo -Lon2/6</v>
      </c>
    </row>
    <row r="180" spans="1:15" x14ac:dyDescent="0.35">
      <c r="A180" t="s">
        <v>27</v>
      </c>
      <c r="B180" t="s">
        <v>52</v>
      </c>
      <c r="C180" s="1">
        <v>42888</v>
      </c>
      <c r="D180" t="s">
        <v>81</v>
      </c>
      <c r="E180" s="7">
        <v>243</v>
      </c>
      <c r="F180" s="7">
        <f>IFERROR(VLOOKUP(E180,Margins!$A:$B,2,TRUE),"")</f>
        <v>0.25</v>
      </c>
      <c r="G180" s="7">
        <f t="shared" si="4"/>
        <v>18225</v>
      </c>
      <c r="H180" t="s">
        <v>65</v>
      </c>
      <c r="I180">
        <v>300</v>
      </c>
      <c r="J180">
        <f>IF(Table1[[#This Row],[Tickets Sold]]&gt;500,8,5)</f>
        <v>5</v>
      </c>
      <c r="K180">
        <v>228</v>
      </c>
      <c r="L180" t="str">
        <f>VLOOKUP(H180,Descriptions!A:B, 2, FALSE)</f>
        <v>Ticket + Air travel Package</v>
      </c>
      <c r="M180">
        <f t="shared" ca="1" si="5"/>
        <v>-2306</v>
      </c>
      <c r="O180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17-TA1Lo -Lon2/6</v>
      </c>
    </row>
    <row r="181" spans="1:15" x14ac:dyDescent="0.35">
      <c r="A181" t="s">
        <v>27</v>
      </c>
      <c r="B181" t="s">
        <v>52</v>
      </c>
      <c r="C181" s="1">
        <v>42888</v>
      </c>
      <c r="D181" t="s">
        <v>81</v>
      </c>
      <c r="E181" s="7">
        <v>33</v>
      </c>
      <c r="F181" s="7">
        <f>IFERROR(VLOOKUP(E181,Margins!$A:$B,2,TRUE),"")</f>
        <v>7.0000000000000007E-2</v>
      </c>
      <c r="G181" s="7">
        <f t="shared" si="4"/>
        <v>131.67000000000002</v>
      </c>
      <c r="H181" t="s">
        <v>67</v>
      </c>
      <c r="I181">
        <v>57</v>
      </c>
      <c r="J181">
        <f>IF(Table1[[#This Row],[Tickets Sold]]&gt;500,8,5)</f>
        <v>5</v>
      </c>
      <c r="K181">
        <v>42</v>
      </c>
      <c r="L181" t="str">
        <f>VLOOKUP(H181,Descriptions!A:B, 2, FALSE)</f>
        <v>Seating-disabled</v>
      </c>
      <c r="M181">
        <f t="shared" ca="1" si="5"/>
        <v>-2306</v>
      </c>
      <c r="O181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17-SCDLo -Lon2/6</v>
      </c>
    </row>
    <row r="182" spans="1:15" x14ac:dyDescent="0.35">
      <c r="A182" t="s">
        <v>27</v>
      </c>
      <c r="B182" t="s">
        <v>52</v>
      </c>
      <c r="C182" s="1">
        <v>42888</v>
      </c>
      <c r="D182" t="s">
        <v>81</v>
      </c>
      <c r="E182" s="7">
        <v>312</v>
      </c>
      <c r="F182" s="7">
        <f>IFERROR(VLOOKUP(E182,Margins!$A:$B,2,TRUE),"")</f>
        <v>0.25</v>
      </c>
      <c r="G182" s="7">
        <f t="shared" si="4"/>
        <v>23400</v>
      </c>
      <c r="H182" t="s">
        <v>66</v>
      </c>
      <c r="I182">
        <v>300</v>
      </c>
      <c r="J182">
        <f>IF(Table1[[#This Row],[Tickets Sold]]&gt;500,8,5)</f>
        <v>5</v>
      </c>
      <c r="K182">
        <v>231</v>
      </c>
      <c r="L182" t="str">
        <f>VLOOKUP(H182,Descriptions!A:B, 2, FALSE)</f>
        <v>Ticket + Air travel + Hotel Package</v>
      </c>
      <c r="M182">
        <f t="shared" ca="1" si="5"/>
        <v>-2306</v>
      </c>
      <c r="O182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17-TA2Lo -Lon2/6</v>
      </c>
    </row>
    <row r="183" spans="1:15" x14ac:dyDescent="0.35">
      <c r="A183" t="s">
        <v>27</v>
      </c>
      <c r="B183" t="s">
        <v>30</v>
      </c>
      <c r="C183" s="1">
        <v>42973</v>
      </c>
      <c r="D183" t="s">
        <v>81</v>
      </c>
      <c r="E183" s="7">
        <v>36</v>
      </c>
      <c r="F183" s="7">
        <f>IFERROR(VLOOKUP(E183,Margins!$A:$B,2,TRUE),"")</f>
        <v>7.0000000000000007E-2</v>
      </c>
      <c r="G183" s="7">
        <f t="shared" si="4"/>
        <v>1224.7200000000003</v>
      </c>
      <c r="H183" t="s">
        <v>62</v>
      </c>
      <c r="I183">
        <v>486</v>
      </c>
      <c r="J183">
        <f>IF(Table1[[#This Row],[Tickets Sold]]&gt;500,8,5)</f>
        <v>5</v>
      </c>
      <c r="K183">
        <v>443</v>
      </c>
      <c r="L183" t="str">
        <f>VLOOKUP(H183,Descriptions!A:B, 2, FALSE)</f>
        <v>Seating Cat. 1</v>
      </c>
      <c r="M183">
        <f t="shared" ca="1" si="5"/>
        <v>-2245</v>
      </c>
      <c r="O183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17-SC1Lo -Ams26/8</v>
      </c>
    </row>
    <row r="184" spans="1:15" x14ac:dyDescent="0.35">
      <c r="A184" t="s">
        <v>27</v>
      </c>
      <c r="B184" t="s">
        <v>30</v>
      </c>
      <c r="C184" s="1">
        <v>42973</v>
      </c>
      <c r="D184" t="s">
        <v>81</v>
      </c>
      <c r="E184" s="7">
        <v>112</v>
      </c>
      <c r="F184" s="7">
        <f>IFERROR(VLOOKUP(E184,Margins!$A:$B,2,TRUE),"")</f>
        <v>0.15</v>
      </c>
      <c r="G184" s="7">
        <f t="shared" si="4"/>
        <v>6552</v>
      </c>
      <c r="H184" t="s">
        <v>63</v>
      </c>
      <c r="I184">
        <v>390</v>
      </c>
      <c r="J184">
        <f>IF(Table1[[#This Row],[Tickets Sold]]&gt;500,8,5)</f>
        <v>5</v>
      </c>
      <c r="K184">
        <v>305</v>
      </c>
      <c r="L184" t="str">
        <f>VLOOKUP(H184,Descriptions!A:B, 2, FALSE)</f>
        <v>Seating Cat. 2</v>
      </c>
      <c r="M184">
        <f t="shared" ca="1" si="5"/>
        <v>-2245</v>
      </c>
      <c r="O184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17-SC2Lo -Ams26/8</v>
      </c>
    </row>
    <row r="185" spans="1:15" x14ac:dyDescent="0.35">
      <c r="A185" t="s">
        <v>27</v>
      </c>
      <c r="B185" t="s">
        <v>30</v>
      </c>
      <c r="C185" s="1">
        <v>42973</v>
      </c>
      <c r="D185" t="s">
        <v>81</v>
      </c>
      <c r="E185" s="7">
        <v>122</v>
      </c>
      <c r="F185" s="7">
        <f>IFERROR(VLOOKUP(E185,Margins!$A:$B,2,TRUE),"")</f>
        <v>0.15</v>
      </c>
      <c r="G185" s="7">
        <f t="shared" si="4"/>
        <v>3733.2000000000003</v>
      </c>
      <c r="H185" t="s">
        <v>64</v>
      </c>
      <c r="I185">
        <v>204</v>
      </c>
      <c r="J185">
        <f>IF(Table1[[#This Row],[Tickets Sold]]&gt;500,8,5)</f>
        <v>5</v>
      </c>
      <c r="K185">
        <v>184</v>
      </c>
      <c r="L185" t="str">
        <f>VLOOKUP(H185,Descriptions!A:B, 2, FALSE)</f>
        <v>Seating Cat. 3</v>
      </c>
      <c r="M185">
        <f t="shared" ca="1" si="5"/>
        <v>-2245</v>
      </c>
      <c r="O185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17-SC3Lo -Ams26/8</v>
      </c>
    </row>
    <row r="186" spans="1:15" x14ac:dyDescent="0.35">
      <c r="A186" t="s">
        <v>27</v>
      </c>
      <c r="B186" t="s">
        <v>30</v>
      </c>
      <c r="C186" s="1">
        <v>42973</v>
      </c>
      <c r="D186" t="s">
        <v>81</v>
      </c>
      <c r="E186" s="7">
        <v>216</v>
      </c>
      <c r="F186" s="7">
        <f>IFERROR(VLOOKUP(E186,Margins!$A:$B,2,TRUE),"")</f>
        <v>0.25</v>
      </c>
      <c r="G186" s="7">
        <f t="shared" si="4"/>
        <v>16200</v>
      </c>
      <c r="H186" t="s">
        <v>65</v>
      </c>
      <c r="I186">
        <v>300</v>
      </c>
      <c r="J186">
        <f>IF(Table1[[#This Row],[Tickets Sold]]&gt;500,8,5)</f>
        <v>5</v>
      </c>
      <c r="K186">
        <v>159</v>
      </c>
      <c r="L186" t="str">
        <f>VLOOKUP(H186,Descriptions!A:B, 2, FALSE)</f>
        <v>Ticket + Air travel Package</v>
      </c>
      <c r="M186">
        <f t="shared" ca="1" si="5"/>
        <v>-2245</v>
      </c>
      <c r="O186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17-TA1Lo -Ams26/8</v>
      </c>
    </row>
    <row r="187" spans="1:15" x14ac:dyDescent="0.35">
      <c r="A187" t="s">
        <v>27</v>
      </c>
      <c r="B187" t="s">
        <v>30</v>
      </c>
      <c r="C187" s="1">
        <v>42973</v>
      </c>
      <c r="D187" t="s">
        <v>81</v>
      </c>
      <c r="E187" s="7">
        <v>31</v>
      </c>
      <c r="F187" s="7">
        <f>IFERROR(VLOOKUP(E187,Margins!$A:$B,2,TRUE),"")</f>
        <v>7.0000000000000007E-2</v>
      </c>
      <c r="G187" s="7">
        <f t="shared" si="4"/>
        <v>125.86000000000003</v>
      </c>
      <c r="H187" t="s">
        <v>67</v>
      </c>
      <c r="I187">
        <v>58</v>
      </c>
      <c r="J187">
        <f>IF(Table1[[#This Row],[Tickets Sold]]&gt;500,8,5)</f>
        <v>5</v>
      </c>
      <c r="K187">
        <v>43</v>
      </c>
      <c r="L187" t="str">
        <f>VLOOKUP(H187,Descriptions!A:B, 2, FALSE)</f>
        <v>Seating-disabled</v>
      </c>
      <c r="M187">
        <f t="shared" ca="1" si="5"/>
        <v>-2245</v>
      </c>
      <c r="O187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17-SCDLo -Ams26/8</v>
      </c>
    </row>
    <row r="188" spans="1:15" x14ac:dyDescent="0.35">
      <c r="A188" t="s">
        <v>27</v>
      </c>
      <c r="B188" t="s">
        <v>30</v>
      </c>
      <c r="C188" s="1">
        <v>42973</v>
      </c>
      <c r="D188" t="s">
        <v>81</v>
      </c>
      <c r="E188" s="7">
        <v>24</v>
      </c>
      <c r="F188" s="7">
        <f>IFERROR(VLOOKUP(E188,Margins!$A:$B,2,TRUE),"")</f>
        <v>7.0000000000000007E-2</v>
      </c>
      <c r="G188" s="7">
        <f t="shared" si="4"/>
        <v>252.00000000000003</v>
      </c>
      <c r="H188" t="s">
        <v>11</v>
      </c>
      <c r="I188">
        <v>150</v>
      </c>
      <c r="J188">
        <f>IF(Table1[[#This Row],[Tickets Sold]]&gt;500,8,5)</f>
        <v>5</v>
      </c>
      <c r="K188">
        <v>81</v>
      </c>
      <c r="L188" t="str">
        <f>VLOOKUP(H188,Descriptions!A:B, 2, FALSE)</f>
        <v>Parking place</v>
      </c>
      <c r="M188">
        <f t="shared" ca="1" si="5"/>
        <v>-2245</v>
      </c>
      <c r="O188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17-POSLo -Ams26/8</v>
      </c>
    </row>
    <row r="189" spans="1:15" x14ac:dyDescent="0.35">
      <c r="A189" t="s">
        <v>27</v>
      </c>
      <c r="B189" t="s">
        <v>30</v>
      </c>
      <c r="C189" s="1">
        <v>42973</v>
      </c>
      <c r="D189" t="s">
        <v>81</v>
      </c>
      <c r="E189" s="7">
        <v>330</v>
      </c>
      <c r="F189" s="7">
        <f>IFERROR(VLOOKUP(E189,Margins!$A:$B,2,TRUE),"")</f>
        <v>0.25</v>
      </c>
      <c r="G189" s="7">
        <f t="shared" si="4"/>
        <v>24750</v>
      </c>
      <c r="H189" t="s">
        <v>66</v>
      </c>
      <c r="I189">
        <v>300</v>
      </c>
      <c r="J189">
        <f>IF(Table1[[#This Row],[Tickets Sold]]&gt;500,8,5)</f>
        <v>5</v>
      </c>
      <c r="K189">
        <v>159</v>
      </c>
      <c r="L189" t="str">
        <f>VLOOKUP(H189,Descriptions!A:B, 2, FALSE)</f>
        <v>Ticket + Air travel + Hotel Package</v>
      </c>
      <c r="M189">
        <f t="shared" ca="1" si="5"/>
        <v>-2245</v>
      </c>
      <c r="O189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17-TA2Lo -Ams26/8</v>
      </c>
    </row>
    <row r="190" spans="1:15" x14ac:dyDescent="0.35">
      <c r="A190" t="s">
        <v>12</v>
      </c>
      <c r="B190" t="s">
        <v>52</v>
      </c>
      <c r="C190" s="1">
        <v>42891</v>
      </c>
      <c r="D190" t="s">
        <v>29</v>
      </c>
      <c r="E190" s="7" t="s">
        <v>38</v>
      </c>
      <c r="F190" s="7" t="str">
        <f>IFERROR(VLOOKUP(E190,Margins!$A:$B,2,TRUE),"")</f>
        <v/>
      </c>
      <c r="G190" s="7" t="str">
        <f t="shared" si="4"/>
        <v/>
      </c>
      <c r="H190" t="s">
        <v>68</v>
      </c>
      <c r="I190">
        <v>75000</v>
      </c>
      <c r="J190">
        <f>IF(Table1[[#This Row],[Tickets Sold]]&gt;500,8,5)</f>
        <v>8</v>
      </c>
      <c r="K190">
        <v>48000</v>
      </c>
      <c r="L190" t="str">
        <f>VLOOKUP(H190,Descriptions!A:B, 2, FALSE)</f>
        <v>General Admission (1 day)</v>
      </c>
      <c r="M190">
        <f t="shared" ca="1" si="5"/>
        <v>-2304</v>
      </c>
      <c r="O190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17-GA1Lon-Lon5/6</v>
      </c>
    </row>
    <row r="191" spans="1:15" x14ac:dyDescent="0.35">
      <c r="A191" t="s">
        <v>12</v>
      </c>
      <c r="B191" t="s">
        <v>52</v>
      </c>
      <c r="C191" s="1">
        <v>42891</v>
      </c>
      <c r="D191" t="s">
        <v>29</v>
      </c>
      <c r="E191" s="7">
        <v>78</v>
      </c>
      <c r="F191" s="7">
        <f>IFERROR(VLOOKUP(E191,Margins!$A:$B,2,TRUE),"")</f>
        <v>0.1</v>
      </c>
      <c r="G191" s="7">
        <f t="shared" si="4"/>
        <v>19500</v>
      </c>
      <c r="H191" t="s">
        <v>62</v>
      </c>
      <c r="I191">
        <v>2500</v>
      </c>
      <c r="J191">
        <f>IF(Table1[[#This Row],[Tickets Sold]]&gt;500,8,5)</f>
        <v>8</v>
      </c>
      <c r="K191">
        <v>2275</v>
      </c>
      <c r="L191" t="str">
        <f>VLOOKUP(H191,Descriptions!A:B, 2, FALSE)</f>
        <v>Seating Cat. 1</v>
      </c>
      <c r="M191">
        <f t="shared" ca="1" si="5"/>
        <v>-2304</v>
      </c>
      <c r="O191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17-SC1Lon-Lon5/6</v>
      </c>
    </row>
    <row r="192" spans="1:15" x14ac:dyDescent="0.35">
      <c r="A192" t="s">
        <v>12</v>
      </c>
      <c r="B192" t="s">
        <v>52</v>
      </c>
      <c r="C192" s="1">
        <v>42891</v>
      </c>
      <c r="D192" t="s">
        <v>29</v>
      </c>
      <c r="E192" s="7" t="s">
        <v>38</v>
      </c>
      <c r="F192" s="7" t="str">
        <f>IFERROR(VLOOKUP(E192,Margins!$A:$B,2,TRUE),"")</f>
        <v/>
      </c>
      <c r="G192" s="7" t="str">
        <f t="shared" si="4"/>
        <v/>
      </c>
      <c r="H192" t="s">
        <v>70</v>
      </c>
      <c r="I192">
        <v>75000</v>
      </c>
      <c r="J192">
        <f>IF(Table1[[#This Row],[Tickets Sold]]&gt;500,8,5)</f>
        <v>8</v>
      </c>
      <c r="K192">
        <v>47250</v>
      </c>
      <c r="L192" t="str">
        <f>VLOOKUP(H192,Descriptions!A:B, 2, FALSE)</f>
        <v>General Admission (season ticket)</v>
      </c>
      <c r="M192">
        <f t="shared" ca="1" si="5"/>
        <v>-2304</v>
      </c>
      <c r="O192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17-GA3Lon-Lon5/6</v>
      </c>
    </row>
    <row r="193" spans="1:15" x14ac:dyDescent="0.35">
      <c r="A193" t="s">
        <v>12</v>
      </c>
      <c r="B193" t="s">
        <v>52</v>
      </c>
      <c r="C193" s="1">
        <v>42891</v>
      </c>
      <c r="D193" t="s">
        <v>29</v>
      </c>
      <c r="E193" s="7">
        <v>28</v>
      </c>
      <c r="F193" s="7">
        <f>IFERROR(VLOOKUP(E193,Margins!$A:$B,2,TRUE),"")</f>
        <v>7.0000000000000007E-2</v>
      </c>
      <c r="G193" s="7">
        <f t="shared" si="4"/>
        <v>225.40000000000003</v>
      </c>
      <c r="H193" t="s">
        <v>67</v>
      </c>
      <c r="I193">
        <v>115</v>
      </c>
      <c r="J193">
        <f>IF(Table1[[#This Row],[Tickets Sold]]&gt;500,8,5)</f>
        <v>5</v>
      </c>
      <c r="K193">
        <v>92</v>
      </c>
      <c r="L193" t="str">
        <f>VLOOKUP(H193,Descriptions!A:B, 2, FALSE)</f>
        <v>Seating-disabled</v>
      </c>
      <c r="M193">
        <f t="shared" ca="1" si="5"/>
        <v>-2304</v>
      </c>
      <c r="O193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17-SCDLon-Lon5/6</v>
      </c>
    </row>
    <row r="194" spans="1:15" x14ac:dyDescent="0.35">
      <c r="A194" t="s">
        <v>12</v>
      </c>
      <c r="B194" t="s">
        <v>52</v>
      </c>
      <c r="C194" s="1">
        <v>42892</v>
      </c>
      <c r="D194" t="s">
        <v>29</v>
      </c>
      <c r="E194" s="7" t="s">
        <v>38</v>
      </c>
      <c r="F194" s="7" t="str">
        <f>IFERROR(VLOOKUP(E194,Margins!$A:$B,2,TRUE),"")</f>
        <v/>
      </c>
      <c r="G194" s="7" t="str">
        <f t="shared" ref="G194:G257" si="6">IFERROR(E194*F194*I194,"")</f>
        <v/>
      </c>
      <c r="H194" t="s">
        <v>68</v>
      </c>
      <c r="I194">
        <v>75000</v>
      </c>
      <c r="J194">
        <f>IF(Table1[[#This Row],[Tickets Sold]]&gt;500,8,5)</f>
        <v>8</v>
      </c>
      <c r="K194">
        <v>70500</v>
      </c>
      <c r="L194" t="str">
        <f>VLOOKUP(H194,Descriptions!A:B, 2, FALSE)</f>
        <v>General Admission (1 day)</v>
      </c>
      <c r="M194">
        <f t="shared" ref="M194:M257" ca="1" si="7">NETWORKDAYS(TODAY(), C194-1)</f>
        <v>-2304</v>
      </c>
      <c r="O194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17-GA1Lon-Lon6/6</v>
      </c>
    </row>
    <row r="195" spans="1:15" x14ac:dyDescent="0.35">
      <c r="A195" t="s">
        <v>12</v>
      </c>
      <c r="B195" t="s">
        <v>52</v>
      </c>
      <c r="C195" s="1">
        <v>42892</v>
      </c>
      <c r="D195" t="s">
        <v>29</v>
      </c>
      <c r="E195" s="7">
        <v>77</v>
      </c>
      <c r="F195" s="7">
        <f>IFERROR(VLOOKUP(E195,Margins!$A:$B,2,TRUE),"")</f>
        <v>0.1</v>
      </c>
      <c r="G195" s="7">
        <f t="shared" si="6"/>
        <v>19250</v>
      </c>
      <c r="H195" t="s">
        <v>62</v>
      </c>
      <c r="I195">
        <v>2500</v>
      </c>
      <c r="J195">
        <f>IF(Table1[[#This Row],[Tickets Sold]]&gt;500,8,5)</f>
        <v>8</v>
      </c>
      <c r="K195">
        <v>1750</v>
      </c>
      <c r="L195" t="str">
        <f>VLOOKUP(H195,Descriptions!A:B, 2, FALSE)</f>
        <v>Seating Cat. 1</v>
      </c>
      <c r="M195">
        <f t="shared" ca="1" si="7"/>
        <v>-2304</v>
      </c>
      <c r="O195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17-SC1Lon-Lon6/6</v>
      </c>
    </row>
    <row r="196" spans="1:15" x14ac:dyDescent="0.35">
      <c r="A196" t="s">
        <v>12</v>
      </c>
      <c r="B196" t="s">
        <v>52</v>
      </c>
      <c r="C196" s="1">
        <v>42892</v>
      </c>
      <c r="D196" t="s">
        <v>29</v>
      </c>
      <c r="E196" s="7">
        <v>22</v>
      </c>
      <c r="F196" s="7">
        <f>IFERROR(VLOOKUP(E196,Margins!$A:$B,2,TRUE),"")</f>
        <v>7.0000000000000007E-2</v>
      </c>
      <c r="G196" s="7">
        <f t="shared" si="6"/>
        <v>184.8</v>
      </c>
      <c r="H196" t="s">
        <v>67</v>
      </c>
      <c r="I196">
        <v>120</v>
      </c>
      <c r="J196">
        <f>IF(Table1[[#This Row],[Tickets Sold]]&gt;500,8,5)</f>
        <v>5</v>
      </c>
      <c r="K196">
        <v>90</v>
      </c>
      <c r="L196" t="str">
        <f>VLOOKUP(H196,Descriptions!A:B, 2, FALSE)</f>
        <v>Seating-disabled</v>
      </c>
      <c r="M196">
        <f t="shared" ca="1" si="7"/>
        <v>-2304</v>
      </c>
      <c r="O196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17-SCDLon-Lon6/6</v>
      </c>
    </row>
    <row r="197" spans="1:15" x14ac:dyDescent="0.35">
      <c r="A197" t="s">
        <v>12</v>
      </c>
      <c r="B197" t="s">
        <v>52</v>
      </c>
      <c r="C197" s="1">
        <v>42892</v>
      </c>
      <c r="D197" t="s">
        <v>29</v>
      </c>
      <c r="E197" s="7">
        <v>247</v>
      </c>
      <c r="F197" s="7">
        <f>IFERROR(VLOOKUP(E197,Margins!$A:$B,2,TRUE),"")</f>
        <v>0.25</v>
      </c>
      <c r="G197" s="7">
        <f t="shared" si="6"/>
        <v>12350</v>
      </c>
      <c r="H197" t="s">
        <v>65</v>
      </c>
      <c r="I197">
        <v>200</v>
      </c>
      <c r="J197">
        <f>IF(Table1[[#This Row],[Tickets Sold]]&gt;500,8,5)</f>
        <v>5</v>
      </c>
      <c r="K197">
        <v>158</v>
      </c>
      <c r="L197" t="str">
        <f>VLOOKUP(H197,Descriptions!A:B, 2, FALSE)</f>
        <v>Ticket + Air travel Package</v>
      </c>
      <c r="M197">
        <f t="shared" ca="1" si="7"/>
        <v>-2304</v>
      </c>
      <c r="O197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17-TA1Lon-Lon6/6</v>
      </c>
    </row>
    <row r="198" spans="1:15" x14ac:dyDescent="0.35">
      <c r="A198" t="s">
        <v>12</v>
      </c>
      <c r="B198" t="s">
        <v>52</v>
      </c>
      <c r="C198" s="1">
        <v>42892</v>
      </c>
      <c r="D198" t="s">
        <v>29</v>
      </c>
      <c r="E198" s="7">
        <v>198</v>
      </c>
      <c r="F198" s="7">
        <f>IFERROR(VLOOKUP(E198,Margins!$A:$B,2,TRUE),"")</f>
        <v>0.15</v>
      </c>
      <c r="G198" s="7">
        <f t="shared" si="6"/>
        <v>2227500</v>
      </c>
      <c r="H198" t="s">
        <v>70</v>
      </c>
      <c r="I198">
        <v>75000</v>
      </c>
      <c r="J198">
        <f>IF(Table1[[#This Row],[Tickets Sold]]&gt;500,8,5)</f>
        <v>8</v>
      </c>
      <c r="K198">
        <v>45750</v>
      </c>
      <c r="L198" t="str">
        <f>VLOOKUP(H198,Descriptions!A:B, 2, FALSE)</f>
        <v>General Admission (season ticket)</v>
      </c>
      <c r="M198">
        <f t="shared" ca="1" si="7"/>
        <v>-2304</v>
      </c>
      <c r="O198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17-GA3Lon-Lon6/6</v>
      </c>
    </row>
    <row r="199" spans="1:15" x14ac:dyDescent="0.35">
      <c r="A199" t="s">
        <v>12</v>
      </c>
      <c r="B199" t="s">
        <v>52</v>
      </c>
      <c r="C199" s="1">
        <v>42892</v>
      </c>
      <c r="D199" t="s">
        <v>29</v>
      </c>
      <c r="E199" s="7">
        <v>377</v>
      </c>
      <c r="F199" s="7">
        <f>IFERROR(VLOOKUP(E199,Margins!$A:$B,2,TRUE),"")</f>
        <v>0.25</v>
      </c>
      <c r="G199" s="7">
        <f t="shared" si="6"/>
        <v>28275</v>
      </c>
      <c r="H199" t="s">
        <v>66</v>
      </c>
      <c r="I199">
        <v>300</v>
      </c>
      <c r="J199">
        <f>IF(Table1[[#This Row],[Tickets Sold]]&gt;500,8,5)</f>
        <v>5</v>
      </c>
      <c r="K199">
        <v>255</v>
      </c>
      <c r="L199" t="str">
        <f>VLOOKUP(H199,Descriptions!A:B, 2, FALSE)</f>
        <v>Ticket + Air travel + Hotel Package</v>
      </c>
      <c r="M199">
        <f t="shared" ca="1" si="7"/>
        <v>-2304</v>
      </c>
      <c r="O199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17-TA2Lon-Lon6/6</v>
      </c>
    </row>
    <row r="200" spans="1:15" x14ac:dyDescent="0.35">
      <c r="A200" t="s">
        <v>15</v>
      </c>
      <c r="B200" t="s">
        <v>51</v>
      </c>
      <c r="C200" s="1">
        <v>42931</v>
      </c>
      <c r="D200" t="s">
        <v>79</v>
      </c>
      <c r="E200" s="7">
        <v>80</v>
      </c>
      <c r="F200" s="7">
        <f>IFERROR(VLOOKUP(E200,Margins!$A:$B,2,TRUE),"")</f>
        <v>0.1</v>
      </c>
      <c r="G200" s="7">
        <f t="shared" si="6"/>
        <v>85264</v>
      </c>
      <c r="H200" t="s">
        <v>68</v>
      </c>
      <c r="I200">
        <v>10658</v>
      </c>
      <c r="J200">
        <f>IF(Table1[[#This Row],[Tickets Sold]]&gt;500,8,5)</f>
        <v>8</v>
      </c>
      <c r="K200">
        <v>6076</v>
      </c>
      <c r="L200" t="str">
        <f>VLOOKUP(H200,Descriptions!A:B, 2, FALSE)</f>
        <v>General Admission (1 day)</v>
      </c>
      <c r="M200">
        <f t="shared" ca="1" si="7"/>
        <v>-2275</v>
      </c>
      <c r="O200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17-GA1Mar-Bar15/7</v>
      </c>
    </row>
    <row r="201" spans="1:15" x14ac:dyDescent="0.35">
      <c r="A201" t="s">
        <v>15</v>
      </c>
      <c r="B201" t="s">
        <v>48</v>
      </c>
      <c r="C201" s="1">
        <v>42942</v>
      </c>
      <c r="D201" t="s">
        <v>79</v>
      </c>
      <c r="E201" s="7">
        <v>60</v>
      </c>
      <c r="F201" s="7">
        <f>IFERROR(VLOOKUP(E201,Margins!$A:$B,2,TRUE),"")</f>
        <v>0.1</v>
      </c>
      <c r="G201" s="7">
        <f t="shared" si="6"/>
        <v>72294</v>
      </c>
      <c r="H201" t="s">
        <v>68</v>
      </c>
      <c r="I201">
        <v>12049</v>
      </c>
      <c r="J201">
        <f>IF(Table1[[#This Row],[Tickets Sold]]&gt;500,8,5)</f>
        <v>8</v>
      </c>
      <c r="K201">
        <v>6025</v>
      </c>
      <c r="L201" t="str">
        <f>VLOOKUP(H201,Descriptions!A:B, 2, FALSE)</f>
        <v>General Admission (1 day)</v>
      </c>
      <c r="M201">
        <f t="shared" ca="1" si="7"/>
        <v>-2268</v>
      </c>
      <c r="O201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17-GA1Mar-Par26/7</v>
      </c>
    </row>
    <row r="202" spans="1:15" x14ac:dyDescent="0.35">
      <c r="A202" t="s">
        <v>15</v>
      </c>
      <c r="B202" t="s">
        <v>52</v>
      </c>
      <c r="C202" s="1">
        <v>42957</v>
      </c>
      <c r="D202" t="s">
        <v>79</v>
      </c>
      <c r="E202" s="7">
        <v>45</v>
      </c>
      <c r="F202" s="7">
        <f>IFERROR(VLOOKUP(E202,Margins!$A:$B,2,TRUE),"")</f>
        <v>7.0000000000000007E-2</v>
      </c>
      <c r="G202" s="7">
        <f t="shared" si="6"/>
        <v>27915.300000000003</v>
      </c>
      <c r="H202" t="s">
        <v>68</v>
      </c>
      <c r="I202">
        <v>8862</v>
      </c>
      <c r="J202">
        <f>IF(Table1[[#This Row],[Tickets Sold]]&gt;500,8,5)</f>
        <v>8</v>
      </c>
      <c r="K202">
        <v>7445</v>
      </c>
      <c r="L202" t="str">
        <f>VLOOKUP(H202,Descriptions!A:B, 2, FALSE)</f>
        <v>General Admission (1 day)</v>
      </c>
      <c r="M202">
        <f t="shared" ca="1" si="7"/>
        <v>-2257</v>
      </c>
      <c r="O202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17-GA1Mar-Lon10/8</v>
      </c>
    </row>
    <row r="203" spans="1:15" x14ac:dyDescent="0.35">
      <c r="A203" t="s">
        <v>15</v>
      </c>
      <c r="B203" t="s">
        <v>53</v>
      </c>
      <c r="C203" s="1">
        <v>42963</v>
      </c>
      <c r="D203" t="s">
        <v>79</v>
      </c>
      <c r="E203" s="7">
        <v>30</v>
      </c>
      <c r="F203" s="7">
        <f>IFERROR(VLOOKUP(E203,Margins!$A:$B,2,TRUE),"")</f>
        <v>7.0000000000000007E-2</v>
      </c>
      <c r="G203" s="7">
        <f t="shared" si="6"/>
        <v>26418</v>
      </c>
      <c r="H203" t="s">
        <v>68</v>
      </c>
      <c r="I203">
        <v>12580</v>
      </c>
      <c r="J203">
        <f>IF(Table1[[#This Row],[Tickets Sold]]&gt;500,8,5)</f>
        <v>8</v>
      </c>
      <c r="K203">
        <v>8177</v>
      </c>
      <c r="L203" t="str">
        <f>VLOOKUP(H203,Descriptions!A:B, 2, FALSE)</f>
        <v>General Admission (1 day)</v>
      </c>
      <c r="M203">
        <f t="shared" ca="1" si="7"/>
        <v>-2253</v>
      </c>
      <c r="O203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17-GA1Mar-Ham16/8</v>
      </c>
    </row>
    <row r="204" spans="1:15" x14ac:dyDescent="0.35">
      <c r="A204" t="s">
        <v>15</v>
      </c>
      <c r="B204" t="s">
        <v>56</v>
      </c>
      <c r="C204" s="1">
        <v>42967</v>
      </c>
      <c r="D204" t="s">
        <v>79</v>
      </c>
      <c r="E204" s="7">
        <v>60</v>
      </c>
      <c r="F204" s="7">
        <f>IFERROR(VLOOKUP(E204,Margins!$A:$B,2,TRUE),"")</f>
        <v>0.1</v>
      </c>
      <c r="G204" s="7">
        <f t="shared" si="6"/>
        <v>58494</v>
      </c>
      <c r="H204" t="s">
        <v>68</v>
      </c>
      <c r="I204">
        <v>9749</v>
      </c>
      <c r="J204">
        <f>IF(Table1[[#This Row],[Tickets Sold]]&gt;500,8,5)</f>
        <v>8</v>
      </c>
      <c r="K204">
        <v>7507</v>
      </c>
      <c r="L204" t="str">
        <f>VLOOKUP(H204,Descriptions!A:B, 2, FALSE)</f>
        <v>General Admission (1 day)</v>
      </c>
      <c r="M204">
        <f t="shared" ca="1" si="7"/>
        <v>-2249</v>
      </c>
      <c r="O204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17-GA1Mar-Edi20/8</v>
      </c>
    </row>
    <row r="205" spans="1:15" x14ac:dyDescent="0.35">
      <c r="A205" t="s">
        <v>32</v>
      </c>
      <c r="B205" t="s">
        <v>5</v>
      </c>
      <c r="C205" s="1">
        <v>42889</v>
      </c>
      <c r="D205" t="s">
        <v>79</v>
      </c>
      <c r="E205" s="7">
        <v>74</v>
      </c>
      <c r="F205" s="7">
        <f>IFERROR(VLOOKUP(E205,Margins!$A:$B,2,TRUE),"")</f>
        <v>0.1</v>
      </c>
      <c r="G205" s="7">
        <f t="shared" si="6"/>
        <v>50712.200000000004</v>
      </c>
      <c r="H205" t="s">
        <v>68</v>
      </c>
      <c r="I205">
        <v>6853</v>
      </c>
      <c r="J205">
        <f>IF(Table1[[#This Row],[Tickets Sold]]&gt;500,8,5)</f>
        <v>8</v>
      </c>
      <c r="K205">
        <v>4181</v>
      </c>
      <c r="L205" t="str">
        <f>VLOOKUP(H205,Descriptions!A:B, 2, FALSE)</f>
        <v>General Admission (1 day)</v>
      </c>
      <c r="M205">
        <f t="shared" ca="1" si="7"/>
        <v>-2305</v>
      </c>
      <c r="O205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17-GA1Mid-Mad3/6</v>
      </c>
    </row>
    <row r="206" spans="1:15" x14ac:dyDescent="0.35">
      <c r="A206" t="s">
        <v>32</v>
      </c>
      <c r="B206" t="s">
        <v>47</v>
      </c>
      <c r="C206" s="1">
        <v>42892</v>
      </c>
      <c r="D206" t="s">
        <v>79</v>
      </c>
      <c r="E206" s="7">
        <v>61</v>
      </c>
      <c r="F206" s="7">
        <f>IFERROR(VLOOKUP(E206,Margins!$A:$B,2,TRUE),"")</f>
        <v>0.1</v>
      </c>
      <c r="G206" s="7">
        <f t="shared" si="6"/>
        <v>72907.200000000012</v>
      </c>
      <c r="H206" t="s">
        <v>68</v>
      </c>
      <c r="I206">
        <v>11952</v>
      </c>
      <c r="J206">
        <f>IF(Table1[[#This Row],[Tickets Sold]]&gt;500,8,5)</f>
        <v>8</v>
      </c>
      <c r="K206">
        <v>9443</v>
      </c>
      <c r="L206" t="str">
        <f>VLOOKUP(H206,Descriptions!A:B, 2, FALSE)</f>
        <v>General Admission (1 day)</v>
      </c>
      <c r="M206">
        <f t="shared" ca="1" si="7"/>
        <v>-2304</v>
      </c>
      <c r="O206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17-GA1Mid-Sto6/6</v>
      </c>
    </row>
    <row r="207" spans="1:15" x14ac:dyDescent="0.35">
      <c r="A207" t="s">
        <v>32</v>
      </c>
      <c r="B207" t="s">
        <v>47</v>
      </c>
      <c r="C207" s="1">
        <v>42892</v>
      </c>
      <c r="D207" t="s">
        <v>79</v>
      </c>
      <c r="E207" s="7">
        <v>78</v>
      </c>
      <c r="F207" s="7">
        <f>IFERROR(VLOOKUP(E207,Margins!$A:$B,2,TRUE),"")</f>
        <v>0.1</v>
      </c>
      <c r="G207" s="7">
        <f t="shared" si="6"/>
        <v>7800.0000000000009</v>
      </c>
      <c r="H207" t="s">
        <v>62</v>
      </c>
      <c r="I207">
        <v>1000</v>
      </c>
      <c r="J207">
        <f>IF(Table1[[#This Row],[Tickets Sold]]&gt;500,8,5)</f>
        <v>8</v>
      </c>
      <c r="K207">
        <v>950</v>
      </c>
      <c r="L207" t="str">
        <f>VLOOKUP(H207,Descriptions!A:B, 2, FALSE)</f>
        <v>Seating Cat. 1</v>
      </c>
      <c r="M207">
        <f t="shared" ca="1" si="7"/>
        <v>-2304</v>
      </c>
      <c r="O207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17-SC1Mid-Sto6/6</v>
      </c>
    </row>
    <row r="208" spans="1:15" x14ac:dyDescent="0.35">
      <c r="A208" t="s">
        <v>32</v>
      </c>
      <c r="B208" t="s">
        <v>47</v>
      </c>
      <c r="C208" s="1">
        <v>42892</v>
      </c>
      <c r="D208" t="s">
        <v>79</v>
      </c>
      <c r="E208" s="7">
        <v>266</v>
      </c>
      <c r="F208" s="7">
        <f>IFERROR(VLOOKUP(E208,Margins!$A:$B,2,TRUE),"")</f>
        <v>0.25</v>
      </c>
      <c r="G208" s="7">
        <f t="shared" si="6"/>
        <v>19950</v>
      </c>
      <c r="H208" t="s">
        <v>65</v>
      </c>
      <c r="I208">
        <v>300</v>
      </c>
      <c r="J208">
        <f>IF(Table1[[#This Row],[Tickets Sold]]&gt;500,8,5)</f>
        <v>5</v>
      </c>
      <c r="K208">
        <v>261</v>
      </c>
      <c r="L208" t="str">
        <f>VLOOKUP(H208,Descriptions!A:B, 2, FALSE)</f>
        <v>Ticket + Air travel Package</v>
      </c>
      <c r="M208">
        <f t="shared" ca="1" si="7"/>
        <v>-2304</v>
      </c>
      <c r="O208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17-TA1Mid-Sto6/6</v>
      </c>
    </row>
    <row r="209" spans="1:15" x14ac:dyDescent="0.35">
      <c r="A209" t="s">
        <v>32</v>
      </c>
      <c r="B209" t="s">
        <v>47</v>
      </c>
      <c r="C209" s="1">
        <v>42892</v>
      </c>
      <c r="D209" t="s">
        <v>79</v>
      </c>
      <c r="E209" s="7">
        <v>343</v>
      </c>
      <c r="F209" s="7">
        <f>IFERROR(VLOOKUP(E209,Margins!$A:$B,2,TRUE),"")</f>
        <v>0.25</v>
      </c>
      <c r="G209" s="7">
        <f t="shared" si="6"/>
        <v>17150</v>
      </c>
      <c r="H209" t="s">
        <v>66</v>
      </c>
      <c r="I209">
        <v>200</v>
      </c>
      <c r="J209">
        <f>IF(Table1[[#This Row],[Tickets Sold]]&gt;500,8,5)</f>
        <v>5</v>
      </c>
      <c r="K209">
        <v>160</v>
      </c>
      <c r="L209" t="str">
        <f>VLOOKUP(H209,Descriptions!A:B, 2, FALSE)</f>
        <v>Ticket + Air travel + Hotel Package</v>
      </c>
      <c r="M209">
        <f t="shared" ca="1" si="7"/>
        <v>-2304</v>
      </c>
      <c r="O209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17-TA2Mid-Sto6/6</v>
      </c>
    </row>
    <row r="210" spans="1:15" x14ac:dyDescent="0.35">
      <c r="A210" t="s">
        <v>32</v>
      </c>
      <c r="B210" t="s">
        <v>2</v>
      </c>
      <c r="C210" s="1">
        <v>42894</v>
      </c>
      <c r="D210" t="s">
        <v>79</v>
      </c>
      <c r="E210" s="7">
        <v>61</v>
      </c>
      <c r="F210" s="7">
        <f>IFERROR(VLOOKUP(E210,Margins!$A:$B,2,TRUE),"")</f>
        <v>0.1</v>
      </c>
      <c r="G210" s="7">
        <f t="shared" si="6"/>
        <v>45798.8</v>
      </c>
      <c r="H210" t="s">
        <v>68</v>
      </c>
      <c r="I210">
        <v>7508</v>
      </c>
      <c r="J210">
        <f>IF(Table1[[#This Row],[Tickets Sold]]&gt;500,8,5)</f>
        <v>8</v>
      </c>
      <c r="K210">
        <v>7133</v>
      </c>
      <c r="L210" t="str">
        <f>VLOOKUP(H210,Descriptions!A:B, 2, FALSE)</f>
        <v>General Admission (1 day)</v>
      </c>
      <c r="M210">
        <f t="shared" ca="1" si="7"/>
        <v>-2302</v>
      </c>
      <c r="O210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17-GA1Mid-Vie8/6</v>
      </c>
    </row>
    <row r="211" spans="1:15" x14ac:dyDescent="0.35">
      <c r="A211" t="s">
        <v>8</v>
      </c>
      <c r="B211" t="s">
        <v>51</v>
      </c>
      <c r="C211" s="1">
        <v>42900</v>
      </c>
      <c r="D211" t="s">
        <v>3</v>
      </c>
      <c r="E211" s="7">
        <v>59</v>
      </c>
      <c r="F211" s="7">
        <f>IFERROR(VLOOKUP(E211,Margins!$A:$B,2,TRUE),"")</f>
        <v>0.1</v>
      </c>
      <c r="G211" s="7">
        <f t="shared" si="6"/>
        <v>4059.2000000000003</v>
      </c>
      <c r="H211" t="s">
        <v>62</v>
      </c>
      <c r="I211">
        <v>688</v>
      </c>
      <c r="J211">
        <f>IF(Table1[[#This Row],[Tickets Sold]]&gt;500,8,5)</f>
        <v>5</v>
      </c>
      <c r="K211">
        <v>448</v>
      </c>
      <c r="L211" t="str">
        <f>VLOOKUP(H211,Descriptions!A:B, 2, FALSE)</f>
        <v>Seating Cat. 1</v>
      </c>
      <c r="M211">
        <f t="shared" ca="1" si="7"/>
        <v>-2298</v>
      </c>
      <c r="O211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17-SC1Not-Bar14/6</v>
      </c>
    </row>
    <row r="212" spans="1:15" x14ac:dyDescent="0.35">
      <c r="A212" t="s">
        <v>8</v>
      </c>
      <c r="B212" t="s">
        <v>51</v>
      </c>
      <c r="C212" s="1">
        <v>42900</v>
      </c>
      <c r="D212" t="s">
        <v>3</v>
      </c>
      <c r="E212" s="7">
        <v>86</v>
      </c>
      <c r="F212" s="7">
        <f>IFERROR(VLOOKUP(E212,Margins!$A:$B,2,TRUE),"")</f>
        <v>0.1</v>
      </c>
      <c r="G212" s="7">
        <f t="shared" si="6"/>
        <v>4282.8</v>
      </c>
      <c r="H212" t="s">
        <v>63</v>
      </c>
      <c r="I212">
        <v>498</v>
      </c>
      <c r="J212">
        <f>IF(Table1[[#This Row],[Tickets Sold]]&gt;500,8,5)</f>
        <v>5</v>
      </c>
      <c r="K212">
        <v>344</v>
      </c>
      <c r="L212" t="str">
        <f>VLOOKUP(H212,Descriptions!A:B, 2, FALSE)</f>
        <v>Seating Cat. 2</v>
      </c>
      <c r="M212">
        <f t="shared" ca="1" si="7"/>
        <v>-2298</v>
      </c>
      <c r="O212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17-SC2Not-Bar14/6</v>
      </c>
    </row>
    <row r="213" spans="1:15" x14ac:dyDescent="0.35">
      <c r="A213" t="s">
        <v>8</v>
      </c>
      <c r="B213" t="s">
        <v>52</v>
      </c>
      <c r="C213" s="1">
        <v>42908</v>
      </c>
      <c r="D213" t="s">
        <v>3</v>
      </c>
      <c r="E213" s="7">
        <v>43</v>
      </c>
      <c r="F213" s="7">
        <f>IFERROR(VLOOKUP(E213,Margins!$A:$B,2,TRUE),"")</f>
        <v>7.0000000000000007E-2</v>
      </c>
      <c r="G213" s="7">
        <f t="shared" si="6"/>
        <v>2233.42</v>
      </c>
      <c r="H213" t="s">
        <v>62</v>
      </c>
      <c r="I213">
        <v>742</v>
      </c>
      <c r="J213">
        <f>IF(Table1[[#This Row],[Tickets Sold]]&gt;500,8,5)</f>
        <v>5</v>
      </c>
      <c r="K213">
        <v>498</v>
      </c>
      <c r="L213" t="str">
        <f>VLOOKUP(H213,Descriptions!A:B, 2, FALSE)</f>
        <v>Seating Cat. 1</v>
      </c>
      <c r="M213">
        <f t="shared" ca="1" si="7"/>
        <v>-2292</v>
      </c>
      <c r="O213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17-SC1Not-Lon22/6</v>
      </c>
    </row>
    <row r="214" spans="1:15" x14ac:dyDescent="0.35">
      <c r="A214" t="s">
        <v>8</v>
      </c>
      <c r="B214" t="s">
        <v>52</v>
      </c>
      <c r="C214" s="1">
        <v>42908</v>
      </c>
      <c r="D214" t="s">
        <v>3</v>
      </c>
      <c r="E214" s="7">
        <v>81</v>
      </c>
      <c r="F214" s="7">
        <f>IFERROR(VLOOKUP(E214,Margins!$A:$B,2,TRUE),"")</f>
        <v>0.1</v>
      </c>
      <c r="G214" s="7">
        <f t="shared" si="6"/>
        <v>3215.7</v>
      </c>
      <c r="H214" t="s">
        <v>63</v>
      </c>
      <c r="I214">
        <v>397</v>
      </c>
      <c r="J214">
        <f>IF(Table1[[#This Row],[Tickets Sold]]&gt;500,8,5)</f>
        <v>5</v>
      </c>
      <c r="K214">
        <v>326</v>
      </c>
      <c r="L214" t="str">
        <f>VLOOKUP(H214,Descriptions!A:B, 2, FALSE)</f>
        <v>Seating Cat. 2</v>
      </c>
      <c r="M214">
        <f t="shared" ca="1" si="7"/>
        <v>-2292</v>
      </c>
      <c r="O214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17-SC2Not-Lon22/6</v>
      </c>
    </row>
    <row r="215" spans="1:15" x14ac:dyDescent="0.35">
      <c r="A215" t="s">
        <v>8</v>
      </c>
      <c r="B215" t="s">
        <v>48</v>
      </c>
      <c r="C215" s="1">
        <v>42912</v>
      </c>
      <c r="D215" t="s">
        <v>3</v>
      </c>
      <c r="E215" s="7">
        <v>48</v>
      </c>
      <c r="F215" s="7">
        <f>IFERROR(VLOOKUP(E215,Margins!$A:$B,2,TRUE),"")</f>
        <v>7.0000000000000007E-2</v>
      </c>
      <c r="G215" s="7">
        <f t="shared" si="6"/>
        <v>2177.2800000000002</v>
      </c>
      <c r="H215" t="s">
        <v>62</v>
      </c>
      <c r="I215">
        <v>648</v>
      </c>
      <c r="J215">
        <f>IF(Table1[[#This Row],[Tickets Sold]]&gt;500,8,5)</f>
        <v>8</v>
      </c>
      <c r="K215">
        <v>551</v>
      </c>
      <c r="L215" t="str">
        <f>VLOOKUP(H215,Descriptions!A:B, 2, FALSE)</f>
        <v>Seating Cat. 1</v>
      </c>
      <c r="M215">
        <f t="shared" ca="1" si="7"/>
        <v>-2289</v>
      </c>
      <c r="O215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17-SC1Not-Par26/6</v>
      </c>
    </row>
    <row r="216" spans="1:15" x14ac:dyDescent="0.35">
      <c r="A216" t="s">
        <v>8</v>
      </c>
      <c r="B216" t="s">
        <v>48</v>
      </c>
      <c r="C216" s="1">
        <v>42912</v>
      </c>
      <c r="D216" t="s">
        <v>3</v>
      </c>
      <c r="E216" s="7">
        <v>85</v>
      </c>
      <c r="F216" s="7">
        <f>IFERROR(VLOOKUP(E216,Margins!$A:$B,2,TRUE),"")</f>
        <v>0.1</v>
      </c>
      <c r="G216" s="7">
        <f t="shared" si="6"/>
        <v>3502</v>
      </c>
      <c r="H216" t="s">
        <v>63</v>
      </c>
      <c r="I216">
        <v>412</v>
      </c>
      <c r="J216">
        <f>IF(Table1[[#This Row],[Tickets Sold]]&gt;500,8,5)</f>
        <v>5</v>
      </c>
      <c r="K216">
        <v>351</v>
      </c>
      <c r="L216" t="str">
        <f>VLOOKUP(H216,Descriptions!A:B, 2, FALSE)</f>
        <v>Seating Cat. 2</v>
      </c>
      <c r="M216">
        <f t="shared" ca="1" si="7"/>
        <v>-2289</v>
      </c>
      <c r="O216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17-SC2Not-Par26/6</v>
      </c>
    </row>
    <row r="217" spans="1:15" x14ac:dyDescent="0.35">
      <c r="A217" t="s">
        <v>8</v>
      </c>
      <c r="B217" t="s">
        <v>48</v>
      </c>
      <c r="C217" s="1">
        <v>42916</v>
      </c>
      <c r="D217" t="s">
        <v>3</v>
      </c>
      <c r="E217" s="7">
        <v>74</v>
      </c>
      <c r="F217" s="7">
        <f>IFERROR(VLOOKUP(E217,Margins!$A:$B,2,TRUE),"")</f>
        <v>0.1</v>
      </c>
      <c r="G217" s="7">
        <f t="shared" si="6"/>
        <v>4795.2</v>
      </c>
      <c r="H217" t="s">
        <v>62</v>
      </c>
      <c r="I217">
        <v>648</v>
      </c>
      <c r="J217">
        <f>IF(Table1[[#This Row],[Tickets Sold]]&gt;500,8,5)</f>
        <v>8</v>
      </c>
      <c r="K217">
        <v>564</v>
      </c>
      <c r="L217" t="str">
        <f>VLOOKUP(H217,Descriptions!A:B, 2, FALSE)</f>
        <v>Seating Cat. 1</v>
      </c>
      <c r="M217">
        <f t="shared" ca="1" si="7"/>
        <v>-2286</v>
      </c>
      <c r="O217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17-SC1Not-Par30/6</v>
      </c>
    </row>
    <row r="218" spans="1:15" x14ac:dyDescent="0.35">
      <c r="A218" t="s">
        <v>8</v>
      </c>
      <c r="B218" t="s">
        <v>48</v>
      </c>
      <c r="C218" s="1">
        <v>42916</v>
      </c>
      <c r="D218" t="s">
        <v>3</v>
      </c>
      <c r="E218" s="7">
        <v>71</v>
      </c>
      <c r="F218" s="7">
        <f>IFERROR(VLOOKUP(E218,Margins!$A:$B,2,TRUE),"")</f>
        <v>0.1</v>
      </c>
      <c r="G218" s="7">
        <f t="shared" si="6"/>
        <v>2925.2000000000003</v>
      </c>
      <c r="H218" t="s">
        <v>63</v>
      </c>
      <c r="I218">
        <v>412</v>
      </c>
      <c r="J218">
        <f>IF(Table1[[#This Row],[Tickets Sold]]&gt;500,8,5)</f>
        <v>5</v>
      </c>
      <c r="K218">
        <v>338</v>
      </c>
      <c r="L218" t="str">
        <f>VLOOKUP(H218,Descriptions!A:B, 2, FALSE)</f>
        <v>Seating Cat. 2</v>
      </c>
      <c r="M218">
        <f t="shared" ca="1" si="7"/>
        <v>-2286</v>
      </c>
      <c r="O218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17-SC2Not-Par30/6</v>
      </c>
    </row>
    <row r="219" spans="1:15" x14ac:dyDescent="0.35">
      <c r="A219" t="s">
        <v>8</v>
      </c>
      <c r="B219" t="s">
        <v>52</v>
      </c>
      <c r="C219" s="1">
        <v>42919</v>
      </c>
      <c r="D219" t="s">
        <v>3</v>
      </c>
      <c r="E219" s="7">
        <v>67</v>
      </c>
      <c r="F219" s="7">
        <f>IFERROR(VLOOKUP(E219,Margins!$A:$B,2,TRUE),"")</f>
        <v>0.1</v>
      </c>
      <c r="G219" s="7">
        <f t="shared" si="6"/>
        <v>4971.4000000000005</v>
      </c>
      <c r="H219" t="s">
        <v>62</v>
      </c>
      <c r="I219">
        <v>742</v>
      </c>
      <c r="J219">
        <f>IF(Table1[[#This Row],[Tickets Sold]]&gt;500,8,5)</f>
        <v>8</v>
      </c>
      <c r="K219">
        <v>683</v>
      </c>
      <c r="L219" t="str">
        <f>VLOOKUP(H219,Descriptions!A:B, 2, FALSE)</f>
        <v>Seating Cat. 1</v>
      </c>
      <c r="M219">
        <f t="shared" ca="1" si="7"/>
        <v>-2284</v>
      </c>
      <c r="O219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17-SC1Not-Lon3/7</v>
      </c>
    </row>
    <row r="220" spans="1:15" x14ac:dyDescent="0.35">
      <c r="A220" t="s">
        <v>8</v>
      </c>
      <c r="B220" t="s">
        <v>52</v>
      </c>
      <c r="C220" s="1">
        <v>42919</v>
      </c>
      <c r="D220" t="s">
        <v>3</v>
      </c>
      <c r="E220" s="7">
        <v>100</v>
      </c>
      <c r="F220" s="7">
        <f>IFERROR(VLOOKUP(E220,Margins!$A:$B,2,TRUE),"")</f>
        <v>0.15</v>
      </c>
      <c r="G220" s="7">
        <f t="shared" si="6"/>
        <v>5955</v>
      </c>
      <c r="H220" t="s">
        <v>63</v>
      </c>
      <c r="I220">
        <v>397</v>
      </c>
      <c r="J220">
        <f>IF(Table1[[#This Row],[Tickets Sold]]&gt;500,8,5)</f>
        <v>5</v>
      </c>
      <c r="K220">
        <v>270</v>
      </c>
      <c r="L220" t="str">
        <f>VLOOKUP(H220,Descriptions!A:B, 2, FALSE)</f>
        <v>Seating Cat. 2</v>
      </c>
      <c r="M220">
        <f t="shared" ca="1" si="7"/>
        <v>-2284</v>
      </c>
      <c r="O220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17-SC2Not-Lon3/7</v>
      </c>
    </row>
    <row r="221" spans="1:15" x14ac:dyDescent="0.35">
      <c r="A221" t="s">
        <v>8</v>
      </c>
      <c r="B221" t="s">
        <v>48</v>
      </c>
      <c r="C221" s="1">
        <v>42941</v>
      </c>
      <c r="D221" t="s">
        <v>3</v>
      </c>
      <c r="E221" s="7">
        <v>58</v>
      </c>
      <c r="F221" s="7">
        <f>IFERROR(VLOOKUP(E221,Margins!$A:$B,2,TRUE),"")</f>
        <v>0.1</v>
      </c>
      <c r="G221" s="7">
        <f t="shared" si="6"/>
        <v>3758.4000000000005</v>
      </c>
      <c r="H221" t="s">
        <v>62</v>
      </c>
      <c r="I221">
        <v>648</v>
      </c>
      <c r="J221">
        <f>IF(Table1[[#This Row],[Tickets Sold]]&gt;500,8,5)</f>
        <v>5</v>
      </c>
      <c r="K221">
        <v>337</v>
      </c>
      <c r="L221" t="str">
        <f>VLOOKUP(H221,Descriptions!A:B, 2, FALSE)</f>
        <v>Seating Cat. 1</v>
      </c>
      <c r="M221">
        <f t="shared" ca="1" si="7"/>
        <v>-2269</v>
      </c>
      <c r="O221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17-SC1Not-Par25/7</v>
      </c>
    </row>
    <row r="222" spans="1:15" x14ac:dyDescent="0.35">
      <c r="A222" t="s">
        <v>8</v>
      </c>
      <c r="B222" t="s">
        <v>48</v>
      </c>
      <c r="C222" s="1">
        <v>42941</v>
      </c>
      <c r="D222" t="s">
        <v>3</v>
      </c>
      <c r="E222" s="7">
        <v>87</v>
      </c>
      <c r="F222" s="7">
        <f>IFERROR(VLOOKUP(E222,Margins!$A:$B,2,TRUE),"")</f>
        <v>0.1</v>
      </c>
      <c r="G222" s="7">
        <f t="shared" si="6"/>
        <v>3584.4000000000005</v>
      </c>
      <c r="H222" t="s">
        <v>63</v>
      </c>
      <c r="I222">
        <v>412</v>
      </c>
      <c r="J222">
        <f>IF(Table1[[#This Row],[Tickets Sold]]&gt;500,8,5)</f>
        <v>5</v>
      </c>
      <c r="K222">
        <v>367</v>
      </c>
      <c r="L222" t="str">
        <f>VLOOKUP(H222,Descriptions!A:B, 2, FALSE)</f>
        <v>Seating Cat. 2</v>
      </c>
      <c r="M222">
        <f t="shared" ca="1" si="7"/>
        <v>-2269</v>
      </c>
      <c r="O222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17-SC2Not-Par25/7</v>
      </c>
    </row>
    <row r="223" spans="1:15" x14ac:dyDescent="0.35">
      <c r="A223" t="s">
        <v>8</v>
      </c>
      <c r="B223" t="s">
        <v>51</v>
      </c>
      <c r="C223" s="1">
        <v>42944</v>
      </c>
      <c r="D223" t="s">
        <v>3</v>
      </c>
      <c r="E223" s="7">
        <v>47</v>
      </c>
      <c r="F223" s="7">
        <f>IFERROR(VLOOKUP(E223,Margins!$A:$B,2,TRUE),"")</f>
        <v>7.0000000000000007E-2</v>
      </c>
      <c r="G223" s="7">
        <f t="shared" si="6"/>
        <v>2263.5200000000004</v>
      </c>
      <c r="H223" t="s">
        <v>62</v>
      </c>
      <c r="I223">
        <v>688</v>
      </c>
      <c r="J223">
        <f>IF(Table1[[#This Row],[Tickets Sold]]&gt;500,8,5)</f>
        <v>8</v>
      </c>
      <c r="K223">
        <v>523</v>
      </c>
      <c r="L223" t="str">
        <f>VLOOKUP(H223,Descriptions!A:B, 2, FALSE)</f>
        <v>Seating Cat. 1</v>
      </c>
      <c r="M223">
        <f t="shared" ca="1" si="7"/>
        <v>-2266</v>
      </c>
      <c r="O223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17-SC1Not-Bar28/7</v>
      </c>
    </row>
    <row r="224" spans="1:15" x14ac:dyDescent="0.35">
      <c r="A224" t="s">
        <v>8</v>
      </c>
      <c r="B224" t="s">
        <v>51</v>
      </c>
      <c r="C224" s="1">
        <v>42944</v>
      </c>
      <c r="D224" t="s">
        <v>3</v>
      </c>
      <c r="E224" s="7">
        <v>85</v>
      </c>
      <c r="F224" s="7">
        <f>IFERROR(VLOOKUP(E224,Margins!$A:$B,2,TRUE),"")</f>
        <v>0.1</v>
      </c>
      <c r="G224" s="7">
        <f t="shared" si="6"/>
        <v>4233</v>
      </c>
      <c r="H224" t="s">
        <v>63</v>
      </c>
      <c r="I224">
        <v>498</v>
      </c>
      <c r="J224">
        <f>IF(Table1[[#This Row],[Tickets Sold]]&gt;500,8,5)</f>
        <v>5</v>
      </c>
      <c r="K224">
        <v>414</v>
      </c>
      <c r="L224" t="str">
        <f>VLOOKUP(H224,Descriptions!A:B, 2, FALSE)</f>
        <v>Seating Cat. 2</v>
      </c>
      <c r="M224">
        <f t="shared" ca="1" si="7"/>
        <v>-2266</v>
      </c>
      <c r="O224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17-SC2Not-Bar28/7</v>
      </c>
    </row>
    <row r="225" spans="1:15" x14ac:dyDescent="0.35">
      <c r="A225" t="s">
        <v>8</v>
      </c>
      <c r="B225" t="s">
        <v>51</v>
      </c>
      <c r="C225" s="1">
        <v>42950</v>
      </c>
      <c r="D225" t="s">
        <v>3</v>
      </c>
      <c r="E225" s="7">
        <v>55</v>
      </c>
      <c r="F225" s="7">
        <f>IFERROR(VLOOKUP(E225,Margins!$A:$B,2,TRUE),"")</f>
        <v>0.1</v>
      </c>
      <c r="G225" s="7">
        <f t="shared" si="6"/>
        <v>3784</v>
      </c>
      <c r="H225" t="s">
        <v>62</v>
      </c>
      <c r="I225">
        <v>688</v>
      </c>
      <c r="J225">
        <f>IF(Table1[[#This Row],[Tickets Sold]]&gt;500,8,5)</f>
        <v>8</v>
      </c>
      <c r="K225">
        <v>523</v>
      </c>
      <c r="L225" t="str">
        <f>VLOOKUP(H225,Descriptions!A:B, 2, FALSE)</f>
        <v>Seating Cat. 1</v>
      </c>
      <c r="M225">
        <f t="shared" ca="1" si="7"/>
        <v>-2262</v>
      </c>
      <c r="O225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17-SC1Not-Bar3/8</v>
      </c>
    </row>
    <row r="226" spans="1:15" x14ac:dyDescent="0.35">
      <c r="A226" t="s">
        <v>8</v>
      </c>
      <c r="B226" t="s">
        <v>51</v>
      </c>
      <c r="C226" s="1">
        <v>42950</v>
      </c>
      <c r="D226" t="s">
        <v>3</v>
      </c>
      <c r="E226" s="7">
        <v>96</v>
      </c>
      <c r="F226" s="7">
        <f>IFERROR(VLOOKUP(E226,Margins!$A:$B,2,TRUE),"")</f>
        <v>0.1</v>
      </c>
      <c r="G226" s="7">
        <f t="shared" si="6"/>
        <v>4780.8000000000011</v>
      </c>
      <c r="H226" t="s">
        <v>63</v>
      </c>
      <c r="I226">
        <v>498</v>
      </c>
      <c r="J226">
        <f>IF(Table1[[#This Row],[Tickets Sold]]&gt;500,8,5)</f>
        <v>5</v>
      </c>
      <c r="K226">
        <v>469</v>
      </c>
      <c r="L226" t="str">
        <f>VLOOKUP(H226,Descriptions!A:B, 2, FALSE)</f>
        <v>Seating Cat. 2</v>
      </c>
      <c r="M226">
        <f t="shared" ca="1" si="7"/>
        <v>-2262</v>
      </c>
      <c r="O226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17-SC2Not-Bar3/8</v>
      </c>
    </row>
    <row r="227" spans="1:15" x14ac:dyDescent="0.35">
      <c r="A227" t="s">
        <v>26</v>
      </c>
      <c r="B227" t="s">
        <v>47</v>
      </c>
      <c r="C227" s="1">
        <v>42891</v>
      </c>
      <c r="D227" t="s">
        <v>80</v>
      </c>
      <c r="E227" s="7">
        <v>31</v>
      </c>
      <c r="F227" s="7">
        <f>IFERROR(VLOOKUP(E227,Margins!$A:$B,2,TRUE),"")</f>
        <v>7.0000000000000007E-2</v>
      </c>
      <c r="G227" s="7">
        <f t="shared" si="6"/>
        <v>1692.6000000000004</v>
      </c>
      <c r="H227" t="s">
        <v>62</v>
      </c>
      <c r="I227">
        <v>780</v>
      </c>
      <c r="J227">
        <f>IF(Table1[[#This Row],[Tickets Sold]]&gt;500,8,5)</f>
        <v>8</v>
      </c>
      <c r="K227">
        <v>546</v>
      </c>
      <c r="L227" t="str">
        <f>VLOOKUP(H227,Descriptions!A:B, 2, FALSE)</f>
        <v>Seating Cat. 1</v>
      </c>
      <c r="M227">
        <f t="shared" ca="1" si="7"/>
        <v>-2304</v>
      </c>
      <c r="O227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17-SC1Orc-Sto5/6</v>
      </c>
    </row>
    <row r="228" spans="1:15" x14ac:dyDescent="0.35">
      <c r="A228" t="s">
        <v>26</v>
      </c>
      <c r="B228" t="s">
        <v>48</v>
      </c>
      <c r="C228" s="1">
        <v>42913</v>
      </c>
      <c r="D228" t="s">
        <v>80</v>
      </c>
      <c r="E228" s="7">
        <v>50</v>
      </c>
      <c r="F228" s="7">
        <f>IFERROR(VLOOKUP(E228,Margins!$A:$B,2,TRUE),"")</f>
        <v>0.1</v>
      </c>
      <c r="G228" s="7">
        <f t="shared" si="6"/>
        <v>9800</v>
      </c>
      <c r="H228" t="s">
        <v>62</v>
      </c>
      <c r="I228">
        <v>1960</v>
      </c>
      <c r="J228">
        <f>IF(Table1[[#This Row],[Tickets Sold]]&gt;500,8,5)</f>
        <v>8</v>
      </c>
      <c r="K228">
        <v>1862</v>
      </c>
      <c r="L228" t="str">
        <f>VLOOKUP(H228,Descriptions!A:B, 2, FALSE)</f>
        <v>Seating Cat. 1</v>
      </c>
      <c r="M228">
        <f t="shared" ca="1" si="7"/>
        <v>-2289</v>
      </c>
      <c r="O228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17-SC1Orc-Par27/6</v>
      </c>
    </row>
    <row r="229" spans="1:15" x14ac:dyDescent="0.35">
      <c r="A229" t="s">
        <v>26</v>
      </c>
      <c r="B229" t="s">
        <v>48</v>
      </c>
      <c r="C229" s="1">
        <v>42913</v>
      </c>
      <c r="D229" t="s">
        <v>80</v>
      </c>
      <c r="E229" s="7">
        <v>101</v>
      </c>
      <c r="F229" s="7">
        <f>IFERROR(VLOOKUP(E229,Margins!$A:$B,2,TRUE),"")</f>
        <v>0.15</v>
      </c>
      <c r="G229" s="7">
        <f t="shared" si="6"/>
        <v>7514.4</v>
      </c>
      <c r="H229" t="s">
        <v>63</v>
      </c>
      <c r="I229">
        <v>496</v>
      </c>
      <c r="J229">
        <f>IF(Table1[[#This Row],[Tickets Sold]]&gt;500,8,5)</f>
        <v>5</v>
      </c>
      <c r="K229">
        <v>248</v>
      </c>
      <c r="L229" t="str">
        <f>VLOOKUP(H229,Descriptions!A:B, 2, FALSE)</f>
        <v>Seating Cat. 2</v>
      </c>
      <c r="M229">
        <f t="shared" ca="1" si="7"/>
        <v>-2289</v>
      </c>
      <c r="O229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17-SC2Orc-Par27/6</v>
      </c>
    </row>
    <row r="230" spans="1:15" x14ac:dyDescent="0.35">
      <c r="A230" t="s">
        <v>26</v>
      </c>
      <c r="B230" t="s">
        <v>48</v>
      </c>
      <c r="C230" s="1">
        <v>42913</v>
      </c>
      <c r="D230" t="s">
        <v>80</v>
      </c>
      <c r="E230" s="7">
        <v>173</v>
      </c>
      <c r="F230" s="7">
        <f>IFERROR(VLOOKUP(E230,Margins!$A:$B,2,TRUE),"")</f>
        <v>0.15</v>
      </c>
      <c r="G230" s="7">
        <f t="shared" si="6"/>
        <v>6435.5999999999995</v>
      </c>
      <c r="H230" t="s">
        <v>64</v>
      </c>
      <c r="I230">
        <v>248</v>
      </c>
      <c r="J230">
        <f>IF(Table1[[#This Row],[Tickets Sold]]&gt;500,8,5)</f>
        <v>5</v>
      </c>
      <c r="K230">
        <v>144</v>
      </c>
      <c r="L230" t="str">
        <f>VLOOKUP(H230,Descriptions!A:B, 2, FALSE)</f>
        <v>Seating Cat. 3</v>
      </c>
      <c r="M230">
        <f t="shared" ca="1" si="7"/>
        <v>-2289</v>
      </c>
      <c r="O230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17-SC3Orc-Par27/6</v>
      </c>
    </row>
    <row r="231" spans="1:15" x14ac:dyDescent="0.35">
      <c r="A231" t="s">
        <v>26</v>
      </c>
      <c r="B231" t="s">
        <v>48</v>
      </c>
      <c r="C231" s="1">
        <v>42913</v>
      </c>
      <c r="D231" t="s">
        <v>80</v>
      </c>
      <c r="E231" s="7">
        <v>30</v>
      </c>
      <c r="F231" s="7">
        <f>IFERROR(VLOOKUP(E231,Margins!$A:$B,2,TRUE),"")</f>
        <v>7.0000000000000007E-2</v>
      </c>
      <c r="G231" s="7">
        <f t="shared" si="6"/>
        <v>191.1</v>
      </c>
      <c r="H231" t="s">
        <v>67</v>
      </c>
      <c r="I231">
        <v>91</v>
      </c>
      <c r="J231">
        <f>IF(Table1[[#This Row],[Tickets Sold]]&gt;500,8,5)</f>
        <v>5</v>
      </c>
      <c r="K231">
        <v>49</v>
      </c>
      <c r="L231" t="str">
        <f>VLOOKUP(H231,Descriptions!A:B, 2, FALSE)</f>
        <v>Seating-disabled</v>
      </c>
      <c r="M231">
        <f t="shared" ca="1" si="7"/>
        <v>-2289</v>
      </c>
      <c r="O231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17-SCDOrc-Par27/6</v>
      </c>
    </row>
    <row r="232" spans="1:15" x14ac:dyDescent="0.35">
      <c r="A232" t="s">
        <v>26</v>
      </c>
      <c r="B232" t="s">
        <v>48</v>
      </c>
      <c r="C232" s="1">
        <v>42913</v>
      </c>
      <c r="D232" t="s">
        <v>80</v>
      </c>
      <c r="E232" s="7">
        <v>39</v>
      </c>
      <c r="F232" s="7">
        <f>IFERROR(VLOOKUP(E232,Margins!$A:$B,2,TRUE),"")</f>
        <v>7.0000000000000007E-2</v>
      </c>
      <c r="G232" s="7">
        <f t="shared" si="6"/>
        <v>273.00000000000006</v>
      </c>
      <c r="H232" t="s">
        <v>11</v>
      </c>
      <c r="I232">
        <v>100</v>
      </c>
      <c r="J232">
        <f>IF(Table1[[#This Row],[Tickets Sold]]&gt;500,8,5)</f>
        <v>5</v>
      </c>
      <c r="K232">
        <v>94</v>
      </c>
      <c r="L232" t="str">
        <f>VLOOKUP(H232,Descriptions!A:B, 2, FALSE)</f>
        <v>Parking place</v>
      </c>
      <c r="M232">
        <f t="shared" ca="1" si="7"/>
        <v>-2289</v>
      </c>
      <c r="O232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17-POSOrc-Par27/6</v>
      </c>
    </row>
    <row r="233" spans="1:15" x14ac:dyDescent="0.35">
      <c r="A233" t="s">
        <v>26</v>
      </c>
      <c r="B233" t="s">
        <v>5</v>
      </c>
      <c r="C233" s="1">
        <v>42942</v>
      </c>
      <c r="D233" t="s">
        <v>80</v>
      </c>
      <c r="E233" s="7">
        <v>42</v>
      </c>
      <c r="F233" s="7">
        <f>IFERROR(VLOOKUP(E233,Margins!$A:$B,2,TRUE),"")</f>
        <v>7.0000000000000007E-2</v>
      </c>
      <c r="G233" s="7">
        <f t="shared" si="6"/>
        <v>4586.4000000000005</v>
      </c>
      <c r="H233" t="s">
        <v>62</v>
      </c>
      <c r="I233">
        <v>1560</v>
      </c>
      <c r="J233">
        <f>IF(Table1[[#This Row],[Tickets Sold]]&gt;500,8,5)</f>
        <v>8</v>
      </c>
      <c r="K233">
        <v>890</v>
      </c>
      <c r="L233" t="str">
        <f>VLOOKUP(H233,Descriptions!A:B, 2, FALSE)</f>
        <v>Seating Cat. 1</v>
      </c>
      <c r="M233">
        <f t="shared" ca="1" si="7"/>
        <v>-2268</v>
      </c>
      <c r="O233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17-SC1Orc-Mad26/7</v>
      </c>
    </row>
    <row r="234" spans="1:15" x14ac:dyDescent="0.35">
      <c r="A234" t="s">
        <v>26</v>
      </c>
      <c r="B234" t="s">
        <v>5</v>
      </c>
      <c r="C234" s="1">
        <v>42942</v>
      </c>
      <c r="D234" t="s">
        <v>80</v>
      </c>
      <c r="E234" s="7">
        <v>74</v>
      </c>
      <c r="F234" s="7">
        <f>IFERROR(VLOOKUP(E234,Margins!$A:$B,2,TRUE),"")</f>
        <v>0.1</v>
      </c>
      <c r="G234" s="7">
        <f t="shared" si="6"/>
        <v>4010.8</v>
      </c>
      <c r="H234" t="s">
        <v>63</v>
      </c>
      <c r="I234">
        <v>542</v>
      </c>
      <c r="J234">
        <f>IF(Table1[[#This Row],[Tickets Sold]]&gt;500,8,5)</f>
        <v>5</v>
      </c>
      <c r="K234">
        <v>499</v>
      </c>
      <c r="L234" t="str">
        <f>VLOOKUP(H234,Descriptions!A:B, 2, FALSE)</f>
        <v>Seating Cat. 2</v>
      </c>
      <c r="M234">
        <f t="shared" ca="1" si="7"/>
        <v>-2268</v>
      </c>
      <c r="O234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17-SC2Orc-Mad26/7</v>
      </c>
    </row>
    <row r="235" spans="1:15" x14ac:dyDescent="0.35">
      <c r="A235" t="s">
        <v>26</v>
      </c>
      <c r="B235" t="s">
        <v>5</v>
      </c>
      <c r="C235" s="1">
        <v>42942</v>
      </c>
      <c r="D235" t="s">
        <v>80</v>
      </c>
      <c r="E235" s="7">
        <v>35</v>
      </c>
      <c r="F235" s="7">
        <f>IFERROR(VLOOKUP(E235,Margins!$A:$B,2,TRUE),"")</f>
        <v>7.0000000000000007E-2</v>
      </c>
      <c r="G235" s="7">
        <f t="shared" si="6"/>
        <v>264.60000000000002</v>
      </c>
      <c r="H235" t="s">
        <v>67</v>
      </c>
      <c r="I235">
        <v>108</v>
      </c>
      <c r="J235">
        <f>IF(Table1[[#This Row],[Tickets Sold]]&gt;500,8,5)</f>
        <v>5</v>
      </c>
      <c r="K235">
        <v>69</v>
      </c>
      <c r="L235" t="str">
        <f>VLOOKUP(H235,Descriptions!A:B, 2, FALSE)</f>
        <v>Seating-disabled</v>
      </c>
      <c r="M235">
        <f t="shared" ca="1" si="7"/>
        <v>-2268</v>
      </c>
      <c r="O235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17-SCDOrc-Mad26/7</v>
      </c>
    </row>
    <row r="236" spans="1:15" x14ac:dyDescent="0.35">
      <c r="A236" t="s">
        <v>26</v>
      </c>
      <c r="B236" t="s">
        <v>5</v>
      </c>
      <c r="C236" s="1">
        <v>42942</v>
      </c>
      <c r="D236" t="s">
        <v>80</v>
      </c>
      <c r="E236" s="7">
        <v>29</v>
      </c>
      <c r="F236" s="7">
        <f>IFERROR(VLOOKUP(E236,Margins!$A:$B,2,TRUE),"")</f>
        <v>7.0000000000000007E-2</v>
      </c>
      <c r="G236" s="7">
        <f t="shared" si="6"/>
        <v>304.50000000000006</v>
      </c>
      <c r="H236" t="s">
        <v>11</v>
      </c>
      <c r="I236">
        <v>150</v>
      </c>
      <c r="J236">
        <f>IF(Table1[[#This Row],[Tickets Sold]]&gt;500,8,5)</f>
        <v>5</v>
      </c>
      <c r="K236">
        <v>107</v>
      </c>
      <c r="L236" t="str">
        <f>VLOOKUP(H236,Descriptions!A:B, 2, FALSE)</f>
        <v>Parking place</v>
      </c>
      <c r="M236">
        <f t="shared" ca="1" si="7"/>
        <v>-2268</v>
      </c>
      <c r="O236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17-POSOrc-Mad26/7</v>
      </c>
    </row>
    <row r="237" spans="1:15" x14ac:dyDescent="0.35">
      <c r="A237" t="s">
        <v>17</v>
      </c>
      <c r="B237" t="s">
        <v>55</v>
      </c>
      <c r="C237" s="1">
        <v>42907</v>
      </c>
      <c r="D237" t="s">
        <v>3</v>
      </c>
      <c r="E237" s="7">
        <v>31</v>
      </c>
      <c r="F237" s="7">
        <f>IFERROR(VLOOKUP(E237,Margins!$A:$B,2,TRUE),"")</f>
        <v>7.0000000000000007E-2</v>
      </c>
      <c r="G237" s="7">
        <f t="shared" si="6"/>
        <v>27891.010000000006</v>
      </c>
      <c r="H237" t="s">
        <v>68</v>
      </c>
      <c r="I237">
        <v>12853</v>
      </c>
      <c r="J237">
        <f>IF(Table1[[#This Row],[Tickets Sold]]&gt;500,8,5)</f>
        <v>8</v>
      </c>
      <c r="K237">
        <v>11825</v>
      </c>
      <c r="L237" t="str">
        <f>VLOOKUP(H237,Descriptions!A:B, 2, FALSE)</f>
        <v>General Admission (1 day)</v>
      </c>
      <c r="M237">
        <f t="shared" ca="1" si="7"/>
        <v>-2293</v>
      </c>
      <c r="O237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17-GA1Pau-Zur21/6</v>
      </c>
    </row>
    <row r="238" spans="1:15" x14ac:dyDescent="0.35">
      <c r="A238" t="s">
        <v>17</v>
      </c>
      <c r="B238" t="s">
        <v>49</v>
      </c>
      <c r="C238" s="1">
        <v>42910</v>
      </c>
      <c r="D238" t="s">
        <v>3</v>
      </c>
      <c r="E238" s="7">
        <v>68</v>
      </c>
      <c r="F238" s="7">
        <f>IFERROR(VLOOKUP(E238,Margins!$A:$B,2,TRUE),"")</f>
        <v>0.1</v>
      </c>
      <c r="G238" s="7">
        <f t="shared" si="6"/>
        <v>78186.400000000009</v>
      </c>
      <c r="H238" t="s">
        <v>68</v>
      </c>
      <c r="I238">
        <v>11498</v>
      </c>
      <c r="J238">
        <f>IF(Table1[[#This Row],[Tickets Sold]]&gt;500,8,5)</f>
        <v>8</v>
      </c>
      <c r="K238">
        <v>5864</v>
      </c>
      <c r="L238" t="str">
        <f>VLOOKUP(H238,Descriptions!A:B, 2, FALSE)</f>
        <v>General Admission (1 day)</v>
      </c>
      <c r="M238">
        <f t="shared" ca="1" si="7"/>
        <v>-2290</v>
      </c>
      <c r="O238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17-GA1Pau-Nic24/6</v>
      </c>
    </row>
    <row r="239" spans="1:15" x14ac:dyDescent="0.35">
      <c r="A239" t="s">
        <v>17</v>
      </c>
      <c r="B239" t="s">
        <v>48</v>
      </c>
      <c r="C239" s="1">
        <v>42934</v>
      </c>
      <c r="D239" t="s">
        <v>3</v>
      </c>
      <c r="E239" s="7">
        <v>57</v>
      </c>
      <c r="F239" s="7">
        <f>IFERROR(VLOOKUP(E239,Margins!$A:$B,2,TRUE),"")</f>
        <v>0.1</v>
      </c>
      <c r="G239" s="7">
        <f t="shared" si="6"/>
        <v>69448.800000000003</v>
      </c>
      <c r="H239" t="s">
        <v>68</v>
      </c>
      <c r="I239">
        <v>12184</v>
      </c>
      <c r="J239">
        <f>IF(Table1[[#This Row],[Tickets Sold]]&gt;500,8,5)</f>
        <v>8</v>
      </c>
      <c r="K239">
        <v>9748</v>
      </c>
      <c r="L239" t="str">
        <f>VLOOKUP(H239,Descriptions!A:B, 2, FALSE)</f>
        <v>General Admission (1 day)</v>
      </c>
      <c r="M239">
        <f t="shared" ca="1" si="7"/>
        <v>-2274</v>
      </c>
      <c r="O239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17-GA1Pau-Par18/7</v>
      </c>
    </row>
    <row r="240" spans="1:15" x14ac:dyDescent="0.35">
      <c r="A240" t="s">
        <v>33</v>
      </c>
      <c r="B240" t="s">
        <v>56</v>
      </c>
      <c r="C240" s="1">
        <v>42958</v>
      </c>
      <c r="D240" t="s">
        <v>79</v>
      </c>
      <c r="E240" s="7">
        <v>41</v>
      </c>
      <c r="F240" s="7">
        <f>IFERROR(VLOOKUP(E240,Margins!$A:$B,2,TRUE),"")</f>
        <v>7.0000000000000007E-2</v>
      </c>
      <c r="G240" s="7">
        <f t="shared" si="6"/>
        <v>28398.65</v>
      </c>
      <c r="H240" t="s">
        <v>68</v>
      </c>
      <c r="I240">
        <v>9895</v>
      </c>
      <c r="J240">
        <f>IF(Table1[[#This Row],[Tickets Sold]]&gt;500,8,5)</f>
        <v>8</v>
      </c>
      <c r="K240">
        <v>4948</v>
      </c>
      <c r="L240" t="str">
        <f>VLOOKUP(H240,Descriptions!A:B, 2, FALSE)</f>
        <v>General Admission (1 day)</v>
      </c>
      <c r="M240">
        <f t="shared" ca="1" si="7"/>
        <v>-2256</v>
      </c>
      <c r="O240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17-GA1Pla-Edi11/8</v>
      </c>
    </row>
    <row r="241" spans="1:15" x14ac:dyDescent="0.35">
      <c r="A241" t="s">
        <v>33</v>
      </c>
      <c r="B241" t="s">
        <v>56</v>
      </c>
      <c r="C241" s="1">
        <v>42958</v>
      </c>
      <c r="D241" t="s">
        <v>79</v>
      </c>
      <c r="E241" s="7">
        <v>57</v>
      </c>
      <c r="F241" s="7">
        <f>IFERROR(VLOOKUP(E241,Margins!$A:$B,2,TRUE),"")</f>
        <v>0.1</v>
      </c>
      <c r="G241" s="7">
        <f t="shared" si="6"/>
        <v>2622</v>
      </c>
      <c r="H241" t="s">
        <v>62</v>
      </c>
      <c r="I241">
        <v>460</v>
      </c>
      <c r="J241">
        <f>IF(Table1[[#This Row],[Tickets Sold]]&gt;500,8,5)</f>
        <v>5</v>
      </c>
      <c r="K241">
        <v>253</v>
      </c>
      <c r="L241" t="str">
        <f>VLOOKUP(H241,Descriptions!A:B, 2, FALSE)</f>
        <v>Seating Cat. 1</v>
      </c>
      <c r="M241">
        <f t="shared" ca="1" si="7"/>
        <v>-2256</v>
      </c>
      <c r="O241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17-SC1Pla-Edi11/8</v>
      </c>
    </row>
    <row r="242" spans="1:15" x14ac:dyDescent="0.35">
      <c r="A242" t="s">
        <v>33</v>
      </c>
      <c r="B242" t="s">
        <v>56</v>
      </c>
      <c r="C242" s="1">
        <v>42958</v>
      </c>
      <c r="D242" t="s">
        <v>79</v>
      </c>
      <c r="E242" s="7">
        <v>232</v>
      </c>
      <c r="F242" s="7">
        <f>IFERROR(VLOOKUP(E242,Margins!$A:$B,2,TRUE),"")</f>
        <v>0.25</v>
      </c>
      <c r="G242" s="7">
        <f t="shared" si="6"/>
        <v>11600</v>
      </c>
      <c r="H242" t="s">
        <v>65</v>
      </c>
      <c r="I242">
        <v>200</v>
      </c>
      <c r="J242">
        <f>IF(Table1[[#This Row],[Tickets Sold]]&gt;500,8,5)</f>
        <v>5</v>
      </c>
      <c r="K242">
        <v>156</v>
      </c>
      <c r="L242" t="str">
        <f>VLOOKUP(H242,Descriptions!A:B, 2, FALSE)</f>
        <v>Ticket + Air travel Package</v>
      </c>
      <c r="M242">
        <f t="shared" ca="1" si="7"/>
        <v>-2256</v>
      </c>
      <c r="O242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17-TA1Pla-Edi11/8</v>
      </c>
    </row>
    <row r="243" spans="1:15" x14ac:dyDescent="0.35">
      <c r="A243" t="s">
        <v>33</v>
      </c>
      <c r="B243" t="s">
        <v>56</v>
      </c>
      <c r="C243" s="1">
        <v>42958</v>
      </c>
      <c r="D243" t="s">
        <v>79</v>
      </c>
      <c r="E243" s="7">
        <v>350</v>
      </c>
      <c r="F243" s="7">
        <f>IFERROR(VLOOKUP(E243,Margins!$A:$B,2,TRUE),"")</f>
        <v>0.25</v>
      </c>
      <c r="G243" s="7">
        <f t="shared" si="6"/>
        <v>35000</v>
      </c>
      <c r="H243" t="s">
        <v>66</v>
      </c>
      <c r="I243">
        <v>400</v>
      </c>
      <c r="J243">
        <f>IF(Table1[[#This Row],[Tickets Sold]]&gt;500,8,5)</f>
        <v>5</v>
      </c>
      <c r="K243">
        <v>380</v>
      </c>
      <c r="L243" t="str">
        <f>VLOOKUP(H243,Descriptions!A:B, 2, FALSE)</f>
        <v>Ticket + Air travel + Hotel Package</v>
      </c>
      <c r="M243">
        <f t="shared" ca="1" si="7"/>
        <v>-2256</v>
      </c>
      <c r="O243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17-TA2Pla-Edi11/8</v>
      </c>
    </row>
    <row r="244" spans="1:15" x14ac:dyDescent="0.35">
      <c r="A244" t="s">
        <v>33</v>
      </c>
      <c r="B244" t="s">
        <v>30</v>
      </c>
      <c r="C244" s="1">
        <v>42967</v>
      </c>
      <c r="D244" t="s">
        <v>79</v>
      </c>
      <c r="E244" s="7">
        <v>54</v>
      </c>
      <c r="F244" s="7">
        <f>IFERROR(VLOOKUP(E244,Margins!$A:$B,2,TRUE),"")</f>
        <v>0.1</v>
      </c>
      <c r="G244" s="7">
        <f t="shared" si="6"/>
        <v>50970.600000000006</v>
      </c>
      <c r="H244" t="s">
        <v>68</v>
      </c>
      <c r="I244">
        <v>9439</v>
      </c>
      <c r="J244">
        <f>IF(Table1[[#This Row],[Tickets Sold]]&gt;500,8,5)</f>
        <v>8</v>
      </c>
      <c r="K244">
        <v>8779</v>
      </c>
      <c r="L244" t="str">
        <f>VLOOKUP(H244,Descriptions!A:B, 2, FALSE)</f>
        <v>General Admission (1 day)</v>
      </c>
      <c r="M244">
        <f t="shared" ca="1" si="7"/>
        <v>-2249</v>
      </c>
      <c r="O244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17-GA1Pla-Ams20/8</v>
      </c>
    </row>
    <row r="245" spans="1:15" x14ac:dyDescent="0.35">
      <c r="A245" t="s">
        <v>33</v>
      </c>
      <c r="B245" t="s">
        <v>30</v>
      </c>
      <c r="C245" s="1">
        <v>42967</v>
      </c>
      <c r="D245" t="s">
        <v>79</v>
      </c>
      <c r="E245" s="7">
        <v>70</v>
      </c>
      <c r="F245" s="7">
        <f>IFERROR(VLOOKUP(E245,Margins!$A:$B,2,TRUE),"")</f>
        <v>0.1</v>
      </c>
      <c r="G245" s="7">
        <f t="shared" si="6"/>
        <v>6916</v>
      </c>
      <c r="H245" t="s">
        <v>62</v>
      </c>
      <c r="I245">
        <v>988</v>
      </c>
      <c r="J245">
        <f>IF(Table1[[#This Row],[Tickets Sold]]&gt;500,8,5)</f>
        <v>8</v>
      </c>
      <c r="K245">
        <v>771</v>
      </c>
      <c r="L245" t="str">
        <f>VLOOKUP(H245,Descriptions!A:B, 2, FALSE)</f>
        <v>Seating Cat. 1</v>
      </c>
      <c r="M245">
        <f t="shared" ca="1" si="7"/>
        <v>-2249</v>
      </c>
      <c r="O245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17-SC1Pla-Ams20/8</v>
      </c>
    </row>
    <row r="246" spans="1:15" x14ac:dyDescent="0.35">
      <c r="A246" t="s">
        <v>33</v>
      </c>
      <c r="B246" t="s">
        <v>30</v>
      </c>
      <c r="C246" s="1">
        <v>42967</v>
      </c>
      <c r="D246" t="s">
        <v>79</v>
      </c>
      <c r="E246" s="7">
        <v>202</v>
      </c>
      <c r="F246" s="7">
        <f>IFERROR(VLOOKUP(E246,Margins!$A:$B,2,TRUE),"")</f>
        <v>0.25</v>
      </c>
      <c r="G246" s="7">
        <f t="shared" si="6"/>
        <v>15150</v>
      </c>
      <c r="H246" t="s">
        <v>65</v>
      </c>
      <c r="I246">
        <v>300</v>
      </c>
      <c r="J246">
        <f>IF(Table1[[#This Row],[Tickets Sold]]&gt;500,8,5)</f>
        <v>5</v>
      </c>
      <c r="K246">
        <v>255</v>
      </c>
      <c r="L246" t="str">
        <f>VLOOKUP(H246,Descriptions!A:B, 2, FALSE)</f>
        <v>Ticket + Air travel Package</v>
      </c>
      <c r="M246">
        <f t="shared" ca="1" si="7"/>
        <v>-2249</v>
      </c>
      <c r="O246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17-TA1Pla-Ams20/8</v>
      </c>
    </row>
    <row r="247" spans="1:15" x14ac:dyDescent="0.35">
      <c r="A247" t="s">
        <v>33</v>
      </c>
      <c r="B247" t="s">
        <v>30</v>
      </c>
      <c r="C247" s="1">
        <v>42967</v>
      </c>
      <c r="D247" t="s">
        <v>79</v>
      </c>
      <c r="E247" s="7">
        <v>301</v>
      </c>
      <c r="F247" s="7">
        <f>IFERROR(VLOOKUP(E247,Margins!$A:$B,2,TRUE),"")</f>
        <v>0.25</v>
      </c>
      <c r="G247" s="7">
        <f t="shared" si="6"/>
        <v>22575</v>
      </c>
      <c r="H247" t="s">
        <v>66</v>
      </c>
      <c r="I247">
        <v>300</v>
      </c>
      <c r="J247">
        <f>IF(Table1[[#This Row],[Tickets Sold]]&gt;500,8,5)</f>
        <v>5</v>
      </c>
      <c r="K247">
        <v>258</v>
      </c>
      <c r="L247" t="str">
        <f>VLOOKUP(H247,Descriptions!A:B, 2, FALSE)</f>
        <v>Ticket + Air travel + Hotel Package</v>
      </c>
      <c r="M247">
        <f t="shared" ca="1" si="7"/>
        <v>-2249</v>
      </c>
      <c r="O247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17-TA2Pla-Ams20/8</v>
      </c>
    </row>
    <row r="248" spans="1:15" x14ac:dyDescent="0.35">
      <c r="A248" t="s">
        <v>9</v>
      </c>
      <c r="B248" t="s">
        <v>52</v>
      </c>
      <c r="C248" s="1">
        <v>42931</v>
      </c>
      <c r="D248" t="s">
        <v>29</v>
      </c>
      <c r="E248" s="7">
        <v>50</v>
      </c>
      <c r="F248" s="7">
        <f>IFERROR(VLOOKUP(E248,Margins!$A:$B,2,TRUE),"")</f>
        <v>0.1</v>
      </c>
      <c r="G248" s="7">
        <f t="shared" si="6"/>
        <v>375000</v>
      </c>
      <c r="H248" t="s">
        <v>68</v>
      </c>
      <c r="I248">
        <v>75000</v>
      </c>
      <c r="J248">
        <f>IF(Table1[[#This Row],[Tickets Sold]]&gt;500,8,5)</f>
        <v>8</v>
      </c>
      <c r="K248">
        <v>54750</v>
      </c>
      <c r="L248" t="str">
        <f>VLOOKUP(H248,Descriptions!A:B, 2, FALSE)</f>
        <v>General Admission (1 day)</v>
      </c>
      <c r="M248">
        <f t="shared" ca="1" si="7"/>
        <v>-2275</v>
      </c>
      <c r="O248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17-GA1Roc-Lon15/7</v>
      </c>
    </row>
    <row r="249" spans="1:15" x14ac:dyDescent="0.35">
      <c r="A249" t="s">
        <v>9</v>
      </c>
      <c r="B249" t="s">
        <v>52</v>
      </c>
      <c r="C249" s="1">
        <v>42931</v>
      </c>
      <c r="D249" t="s">
        <v>29</v>
      </c>
      <c r="E249" s="7">
        <v>94</v>
      </c>
      <c r="F249" s="7">
        <f>IFERROR(VLOOKUP(E249,Margins!$A:$B,2,TRUE),"")</f>
        <v>0.1</v>
      </c>
      <c r="G249" s="7">
        <f t="shared" si="6"/>
        <v>470000</v>
      </c>
      <c r="H249" t="s">
        <v>69</v>
      </c>
      <c r="I249">
        <v>50000</v>
      </c>
      <c r="J249">
        <f>IF(Table1[[#This Row],[Tickets Sold]]&gt;500,8,5)</f>
        <v>8</v>
      </c>
      <c r="K249">
        <v>43500</v>
      </c>
      <c r="L249" t="str">
        <f>VLOOKUP(H249,Descriptions!A:B, 2, FALSE)</f>
        <v>General Admission (2 days)</v>
      </c>
      <c r="M249">
        <f t="shared" ca="1" si="7"/>
        <v>-2275</v>
      </c>
      <c r="O249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17-GA2Roc-Lon15/7</v>
      </c>
    </row>
    <row r="250" spans="1:15" x14ac:dyDescent="0.35">
      <c r="A250" t="s">
        <v>9</v>
      </c>
      <c r="B250" t="s">
        <v>52</v>
      </c>
      <c r="C250" s="1">
        <v>42931</v>
      </c>
      <c r="D250" t="s">
        <v>29</v>
      </c>
      <c r="E250" s="7">
        <v>119</v>
      </c>
      <c r="F250" s="7">
        <f>IFERROR(VLOOKUP(E250,Margins!$A:$B,2,TRUE),"")</f>
        <v>0.15</v>
      </c>
      <c r="G250" s="7">
        <f t="shared" si="6"/>
        <v>892499.99999999988</v>
      </c>
      <c r="H250" t="s">
        <v>70</v>
      </c>
      <c r="I250">
        <v>50000</v>
      </c>
      <c r="J250">
        <f>IF(Table1[[#This Row],[Tickets Sold]]&gt;500,8,5)</f>
        <v>8</v>
      </c>
      <c r="K250">
        <v>33000</v>
      </c>
      <c r="L250" t="str">
        <f>VLOOKUP(H250,Descriptions!A:B, 2, FALSE)</f>
        <v>General Admission (season ticket)</v>
      </c>
      <c r="M250">
        <f t="shared" ca="1" si="7"/>
        <v>-2275</v>
      </c>
      <c r="O250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17-GA3Roc-Lon15/7</v>
      </c>
    </row>
    <row r="251" spans="1:15" x14ac:dyDescent="0.35">
      <c r="A251" t="s">
        <v>9</v>
      </c>
      <c r="B251" t="s">
        <v>52</v>
      </c>
      <c r="C251" s="1">
        <v>42931</v>
      </c>
      <c r="D251" t="s">
        <v>29</v>
      </c>
      <c r="E251" s="7">
        <v>35</v>
      </c>
      <c r="F251" s="7">
        <f>IFERROR(VLOOKUP(E251,Margins!$A:$B,2,TRUE),"")</f>
        <v>7.0000000000000007E-2</v>
      </c>
      <c r="G251" s="7">
        <f t="shared" si="6"/>
        <v>264.60000000000002</v>
      </c>
      <c r="H251" t="s">
        <v>67</v>
      </c>
      <c r="I251">
        <v>108</v>
      </c>
      <c r="J251">
        <f>IF(Table1[[#This Row],[Tickets Sold]]&gt;500,8,5)</f>
        <v>5</v>
      </c>
      <c r="K251">
        <v>83</v>
      </c>
      <c r="L251" t="str">
        <f>VLOOKUP(H251,Descriptions!A:B, 2, FALSE)</f>
        <v>Seating-disabled</v>
      </c>
      <c r="M251">
        <f t="shared" ca="1" si="7"/>
        <v>-2275</v>
      </c>
      <c r="O251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17-SCDRoc-Lon15/7</v>
      </c>
    </row>
    <row r="252" spans="1:15" x14ac:dyDescent="0.35">
      <c r="A252" t="s">
        <v>9</v>
      </c>
      <c r="B252" t="s">
        <v>52</v>
      </c>
      <c r="C252" s="1">
        <v>42931</v>
      </c>
      <c r="D252" t="s">
        <v>29</v>
      </c>
      <c r="E252" s="7">
        <v>21</v>
      </c>
      <c r="F252" s="7">
        <f>IFERROR(VLOOKUP(E252,Margins!$A:$B,2,TRUE),"")</f>
        <v>7.0000000000000007E-2</v>
      </c>
      <c r="G252" s="7">
        <f t="shared" si="6"/>
        <v>220.50000000000003</v>
      </c>
      <c r="H252" t="s">
        <v>11</v>
      </c>
      <c r="I252">
        <v>150</v>
      </c>
      <c r="J252">
        <f>IF(Table1[[#This Row],[Tickets Sold]]&gt;500,8,5)</f>
        <v>5</v>
      </c>
      <c r="K252">
        <v>83</v>
      </c>
      <c r="L252" t="str">
        <f>VLOOKUP(H252,Descriptions!A:B, 2, FALSE)</f>
        <v>Parking place</v>
      </c>
      <c r="M252">
        <f t="shared" ca="1" si="7"/>
        <v>-2275</v>
      </c>
      <c r="O252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17-POSRoc-Lon15/7</v>
      </c>
    </row>
    <row r="253" spans="1:15" x14ac:dyDescent="0.35">
      <c r="A253" t="s">
        <v>9</v>
      </c>
      <c r="B253" t="s">
        <v>52</v>
      </c>
      <c r="C253" s="1">
        <v>42931</v>
      </c>
      <c r="D253" t="s">
        <v>29</v>
      </c>
      <c r="E253" s="7">
        <v>63</v>
      </c>
      <c r="F253" s="7">
        <f>IFERROR(VLOOKUP(E253,Margins!$A:$B,2,TRUE),"")</f>
        <v>0.1</v>
      </c>
      <c r="G253" s="7">
        <f t="shared" si="6"/>
        <v>15750.000000000002</v>
      </c>
      <c r="H253" t="s">
        <v>62</v>
      </c>
      <c r="I253">
        <v>2500</v>
      </c>
      <c r="J253">
        <f>IF(Table1[[#This Row],[Tickets Sold]]&gt;500,8,5)</f>
        <v>8</v>
      </c>
      <c r="K253">
        <v>1650</v>
      </c>
      <c r="L253" t="str">
        <f>VLOOKUP(H253,Descriptions!A:B, 2, FALSE)</f>
        <v>Seating Cat. 1</v>
      </c>
      <c r="M253">
        <f t="shared" ca="1" si="7"/>
        <v>-2275</v>
      </c>
      <c r="O253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17-SC1Roc-Lon15/7</v>
      </c>
    </row>
    <row r="254" spans="1:15" x14ac:dyDescent="0.35">
      <c r="A254" t="s">
        <v>9</v>
      </c>
      <c r="B254" t="s">
        <v>52</v>
      </c>
      <c r="C254" s="1">
        <v>42932</v>
      </c>
      <c r="D254" t="s">
        <v>29</v>
      </c>
      <c r="E254" s="7">
        <v>57</v>
      </c>
      <c r="F254" s="7">
        <f>IFERROR(VLOOKUP(E254,Margins!$A:$B,2,TRUE),"")</f>
        <v>0.1</v>
      </c>
      <c r="G254" s="7">
        <f t="shared" si="6"/>
        <v>285000</v>
      </c>
      <c r="H254" t="s">
        <v>68</v>
      </c>
      <c r="I254">
        <v>50000</v>
      </c>
      <c r="J254">
        <f>IF(Table1[[#This Row],[Tickets Sold]]&gt;500,8,5)</f>
        <v>8</v>
      </c>
      <c r="K254">
        <v>40000</v>
      </c>
      <c r="L254" t="str">
        <f>VLOOKUP(H254,Descriptions!A:B, 2, FALSE)</f>
        <v>General Admission (1 day)</v>
      </c>
      <c r="M254">
        <f t="shared" ca="1" si="7"/>
        <v>-2274</v>
      </c>
      <c r="O254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17-GA1Roc-Lon16/7</v>
      </c>
    </row>
    <row r="255" spans="1:15" x14ac:dyDescent="0.35">
      <c r="A255" t="s">
        <v>9</v>
      </c>
      <c r="B255" t="s">
        <v>52</v>
      </c>
      <c r="C255" s="1">
        <v>42932</v>
      </c>
      <c r="D255" t="s">
        <v>29</v>
      </c>
      <c r="E255" s="7">
        <v>34</v>
      </c>
      <c r="F255" s="7">
        <f>IFERROR(VLOOKUP(E255,Margins!$A:$B,2,TRUE),"")</f>
        <v>7.0000000000000007E-2</v>
      </c>
      <c r="G255" s="7">
        <f t="shared" si="6"/>
        <v>214.20000000000002</v>
      </c>
      <c r="H255" t="s">
        <v>67</v>
      </c>
      <c r="I255">
        <v>90</v>
      </c>
      <c r="J255">
        <f>IF(Table1[[#This Row],[Tickets Sold]]&gt;500,8,5)</f>
        <v>5</v>
      </c>
      <c r="K255">
        <v>45</v>
      </c>
      <c r="L255" t="str">
        <f>VLOOKUP(H255,Descriptions!A:B, 2, FALSE)</f>
        <v>Seating-disabled</v>
      </c>
      <c r="M255">
        <f t="shared" ca="1" si="7"/>
        <v>-2274</v>
      </c>
      <c r="O255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17-SCDRoc-Lon16/7</v>
      </c>
    </row>
    <row r="256" spans="1:15" x14ac:dyDescent="0.35">
      <c r="A256" t="s">
        <v>9</v>
      </c>
      <c r="B256" t="s">
        <v>52</v>
      </c>
      <c r="C256" s="1">
        <v>42932</v>
      </c>
      <c r="D256" t="s">
        <v>29</v>
      </c>
      <c r="E256" s="7">
        <v>31</v>
      </c>
      <c r="F256" s="7">
        <f>IFERROR(VLOOKUP(E256,Margins!$A:$B,2,TRUE),"")</f>
        <v>7.0000000000000007E-2</v>
      </c>
      <c r="G256" s="7">
        <f t="shared" si="6"/>
        <v>434.00000000000006</v>
      </c>
      <c r="H256" t="s">
        <v>11</v>
      </c>
      <c r="I256">
        <v>200</v>
      </c>
      <c r="J256">
        <f>IF(Table1[[#This Row],[Tickets Sold]]&gt;500,8,5)</f>
        <v>5</v>
      </c>
      <c r="K256">
        <v>160</v>
      </c>
      <c r="L256" t="str">
        <f>VLOOKUP(H256,Descriptions!A:B, 2, FALSE)</f>
        <v>Parking place</v>
      </c>
      <c r="M256">
        <f t="shared" ca="1" si="7"/>
        <v>-2274</v>
      </c>
      <c r="O256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17-POSRoc-Lon16/7</v>
      </c>
    </row>
    <row r="257" spans="1:15" x14ac:dyDescent="0.35">
      <c r="A257" t="s">
        <v>9</v>
      </c>
      <c r="B257" t="s">
        <v>52</v>
      </c>
      <c r="C257" s="1">
        <v>42932</v>
      </c>
      <c r="D257" t="s">
        <v>29</v>
      </c>
      <c r="E257" s="7">
        <v>54</v>
      </c>
      <c r="F257" s="7">
        <f>IFERROR(VLOOKUP(E257,Margins!$A:$B,2,TRUE),"")</f>
        <v>0.1</v>
      </c>
      <c r="G257" s="7">
        <f t="shared" si="6"/>
        <v>13500</v>
      </c>
      <c r="H257" t="s">
        <v>62</v>
      </c>
      <c r="I257">
        <v>2500</v>
      </c>
      <c r="J257">
        <f>IF(Table1[[#This Row],[Tickets Sold]]&gt;500,8,5)</f>
        <v>8</v>
      </c>
      <c r="K257">
        <v>1275</v>
      </c>
      <c r="L257" t="str">
        <f>VLOOKUP(H257,Descriptions!A:B, 2, FALSE)</f>
        <v>Seating Cat. 1</v>
      </c>
      <c r="M257">
        <f t="shared" ca="1" si="7"/>
        <v>-2274</v>
      </c>
      <c r="O257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17-SC1Roc-Lon16/7</v>
      </c>
    </row>
    <row r="258" spans="1:15" x14ac:dyDescent="0.35">
      <c r="A258" t="s">
        <v>9</v>
      </c>
      <c r="B258" t="s">
        <v>52</v>
      </c>
      <c r="C258" s="1">
        <v>42933</v>
      </c>
      <c r="D258" t="s">
        <v>29</v>
      </c>
      <c r="E258" s="7">
        <v>40</v>
      </c>
      <c r="F258" s="7">
        <f>IFERROR(VLOOKUP(E258,Margins!$A:$B,2,TRUE),"")</f>
        <v>7.0000000000000007E-2</v>
      </c>
      <c r="G258" s="7">
        <f t="shared" ref="G258:G321" si="8">IFERROR(E258*F258*I258,"")</f>
        <v>210000.00000000003</v>
      </c>
      <c r="H258" t="s">
        <v>68</v>
      </c>
      <c r="I258">
        <v>75000</v>
      </c>
      <c r="J258">
        <f>IF(Table1[[#This Row],[Tickets Sold]]&gt;500,8,5)</f>
        <v>8</v>
      </c>
      <c r="K258">
        <v>40500</v>
      </c>
      <c r="L258" t="str">
        <f>VLOOKUP(H258,Descriptions!A:B, 2, FALSE)</f>
        <v>General Admission (1 day)</v>
      </c>
      <c r="M258">
        <f t="shared" ref="M258:M321" ca="1" si="9">NETWORKDAYS(TODAY(), C258-1)</f>
        <v>-2274</v>
      </c>
      <c r="O258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17-GA1Roc-Lon17/7</v>
      </c>
    </row>
    <row r="259" spans="1:15" x14ac:dyDescent="0.35">
      <c r="A259" t="s">
        <v>9</v>
      </c>
      <c r="B259" t="s">
        <v>52</v>
      </c>
      <c r="C259" s="1">
        <v>42933</v>
      </c>
      <c r="D259" t="s">
        <v>29</v>
      </c>
      <c r="E259" s="7">
        <v>276</v>
      </c>
      <c r="F259" s="7">
        <f>IFERROR(VLOOKUP(E259,Margins!$A:$B,2,TRUE),"")</f>
        <v>0.25</v>
      </c>
      <c r="G259" s="7">
        <f t="shared" si="8"/>
        <v>20700</v>
      </c>
      <c r="H259" t="s">
        <v>65</v>
      </c>
      <c r="I259">
        <v>300</v>
      </c>
      <c r="J259">
        <f>IF(Table1[[#This Row],[Tickets Sold]]&gt;500,8,5)</f>
        <v>5</v>
      </c>
      <c r="K259">
        <v>150</v>
      </c>
      <c r="L259" t="str">
        <f>VLOOKUP(H259,Descriptions!A:B, 2, FALSE)</f>
        <v>Ticket + Air travel Package</v>
      </c>
      <c r="M259">
        <f t="shared" ca="1" si="9"/>
        <v>-2274</v>
      </c>
      <c r="O259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17-TA1Roc-Lon17/7</v>
      </c>
    </row>
    <row r="260" spans="1:15" x14ac:dyDescent="0.35">
      <c r="A260" t="s">
        <v>9</v>
      </c>
      <c r="B260" t="s">
        <v>52</v>
      </c>
      <c r="C260" s="1">
        <v>42933</v>
      </c>
      <c r="D260" t="s">
        <v>29</v>
      </c>
      <c r="E260" s="7">
        <v>28</v>
      </c>
      <c r="F260" s="7">
        <f>IFERROR(VLOOKUP(E260,Margins!$A:$B,2,TRUE),"")</f>
        <v>7.0000000000000007E-2</v>
      </c>
      <c r="G260" s="7">
        <f t="shared" si="8"/>
        <v>107.80000000000001</v>
      </c>
      <c r="H260" t="s">
        <v>67</v>
      </c>
      <c r="I260">
        <v>55</v>
      </c>
      <c r="J260">
        <f>IF(Table1[[#This Row],[Tickets Sold]]&gt;500,8,5)</f>
        <v>5</v>
      </c>
      <c r="K260">
        <v>44</v>
      </c>
      <c r="L260" t="str">
        <f>VLOOKUP(H260,Descriptions!A:B, 2, FALSE)</f>
        <v>Seating-disabled</v>
      </c>
      <c r="M260">
        <f t="shared" ca="1" si="9"/>
        <v>-2274</v>
      </c>
      <c r="O260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17-SCDRoc-Lon17/7</v>
      </c>
    </row>
    <row r="261" spans="1:15" x14ac:dyDescent="0.35">
      <c r="A261" t="s">
        <v>9</v>
      </c>
      <c r="B261" t="s">
        <v>52</v>
      </c>
      <c r="C261" s="1">
        <v>42933</v>
      </c>
      <c r="D261" t="s">
        <v>29</v>
      </c>
      <c r="E261" s="7">
        <v>21</v>
      </c>
      <c r="F261" s="7">
        <f>IFERROR(VLOOKUP(E261,Margins!$A:$B,2,TRUE),"")</f>
        <v>7.0000000000000007E-2</v>
      </c>
      <c r="G261" s="7">
        <f t="shared" si="8"/>
        <v>220.50000000000003</v>
      </c>
      <c r="H261" t="s">
        <v>11</v>
      </c>
      <c r="I261">
        <v>150</v>
      </c>
      <c r="J261">
        <f>IF(Table1[[#This Row],[Tickets Sold]]&gt;500,8,5)</f>
        <v>5</v>
      </c>
      <c r="K261">
        <v>80</v>
      </c>
      <c r="L261" t="str">
        <f>VLOOKUP(H261,Descriptions!A:B, 2, FALSE)</f>
        <v>Parking place</v>
      </c>
      <c r="M261">
        <f t="shared" ca="1" si="9"/>
        <v>-2274</v>
      </c>
      <c r="O261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17-POSRoc-Lon17/7</v>
      </c>
    </row>
    <row r="262" spans="1:15" x14ac:dyDescent="0.35">
      <c r="A262" t="s">
        <v>9</v>
      </c>
      <c r="B262" t="s">
        <v>52</v>
      </c>
      <c r="C262" s="1">
        <v>42933</v>
      </c>
      <c r="D262" t="s">
        <v>29</v>
      </c>
      <c r="E262" s="7">
        <v>62</v>
      </c>
      <c r="F262" s="7">
        <f>IFERROR(VLOOKUP(E262,Margins!$A:$B,2,TRUE),"")</f>
        <v>0.1</v>
      </c>
      <c r="G262" s="7">
        <f t="shared" si="8"/>
        <v>15500</v>
      </c>
      <c r="H262" t="s">
        <v>62</v>
      </c>
      <c r="I262">
        <v>2500</v>
      </c>
      <c r="J262">
        <f>IF(Table1[[#This Row],[Tickets Sold]]&gt;500,8,5)</f>
        <v>8</v>
      </c>
      <c r="K262">
        <v>1650</v>
      </c>
      <c r="L262" t="str">
        <f>VLOOKUP(H262,Descriptions!A:B, 2, FALSE)</f>
        <v>Seating Cat. 1</v>
      </c>
      <c r="M262">
        <f t="shared" ca="1" si="9"/>
        <v>-2274</v>
      </c>
      <c r="O262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17-SC1Roc-Lon17/7</v>
      </c>
    </row>
    <row r="263" spans="1:15" x14ac:dyDescent="0.35">
      <c r="A263" t="s">
        <v>9</v>
      </c>
      <c r="B263" t="s">
        <v>52</v>
      </c>
      <c r="C263" s="1">
        <v>42933</v>
      </c>
      <c r="D263" t="s">
        <v>29</v>
      </c>
      <c r="E263" s="7">
        <v>380</v>
      </c>
      <c r="F263" s="7">
        <f>IFERROR(VLOOKUP(E263,Margins!$A:$B,2,TRUE),"")</f>
        <v>0.25</v>
      </c>
      <c r="G263" s="7">
        <f t="shared" si="8"/>
        <v>28500</v>
      </c>
      <c r="H263" t="s">
        <v>66</v>
      </c>
      <c r="I263">
        <v>300</v>
      </c>
      <c r="J263">
        <f>IF(Table1[[#This Row],[Tickets Sold]]&gt;500,8,5)</f>
        <v>5</v>
      </c>
      <c r="K263">
        <v>159</v>
      </c>
      <c r="L263" t="str">
        <f>VLOOKUP(H263,Descriptions!A:B, 2, FALSE)</f>
        <v>Ticket + Air travel + Hotel Package</v>
      </c>
      <c r="M263">
        <f t="shared" ca="1" si="9"/>
        <v>-2274</v>
      </c>
      <c r="O263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17-TA2Roc-Lon17/7</v>
      </c>
    </row>
    <row r="264" spans="1:15" x14ac:dyDescent="0.35">
      <c r="A264" t="s">
        <v>0</v>
      </c>
      <c r="B264" t="s">
        <v>48</v>
      </c>
      <c r="C264" s="1">
        <v>42892</v>
      </c>
      <c r="D264" t="s">
        <v>82</v>
      </c>
      <c r="E264" s="7">
        <v>64</v>
      </c>
      <c r="F264" s="7">
        <f>IFERROR(VLOOKUP(E264,Margins!$A:$B,2,TRUE),"")</f>
        <v>0.1</v>
      </c>
      <c r="G264" s="7">
        <f t="shared" si="8"/>
        <v>6259.2000000000007</v>
      </c>
      <c r="H264" t="s">
        <v>62</v>
      </c>
      <c r="I264">
        <v>978</v>
      </c>
      <c r="J264">
        <f>IF(Table1[[#This Row],[Tickets Sold]]&gt;500,8,5)</f>
        <v>8</v>
      </c>
      <c r="K264">
        <v>558</v>
      </c>
      <c r="L264" t="str">
        <f>VLOOKUP(H264,Descriptions!A:B, 2, FALSE)</f>
        <v>Seating Cat. 1</v>
      </c>
      <c r="M264">
        <f t="shared" ca="1" si="9"/>
        <v>-2304</v>
      </c>
      <c r="O264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17-SC1Rom-Par6/6</v>
      </c>
    </row>
    <row r="265" spans="1:15" x14ac:dyDescent="0.35">
      <c r="A265" t="s">
        <v>0</v>
      </c>
      <c r="B265" t="s">
        <v>48</v>
      </c>
      <c r="C265" s="1">
        <v>42892</v>
      </c>
      <c r="D265" t="s">
        <v>82</v>
      </c>
      <c r="E265" s="7">
        <v>101</v>
      </c>
      <c r="F265" s="7">
        <f>IFERROR(VLOOKUP(E265,Margins!$A:$B,2,TRUE),"")</f>
        <v>0.15</v>
      </c>
      <c r="G265" s="7">
        <f t="shared" si="8"/>
        <v>6862.9499999999989</v>
      </c>
      <c r="H265" t="s">
        <v>63</v>
      </c>
      <c r="I265">
        <v>453</v>
      </c>
      <c r="J265">
        <f>IF(Table1[[#This Row],[Tickets Sold]]&gt;500,8,5)</f>
        <v>5</v>
      </c>
      <c r="K265">
        <v>413</v>
      </c>
      <c r="L265" t="str">
        <f>VLOOKUP(H265,Descriptions!A:B, 2, FALSE)</f>
        <v>Seating Cat. 2</v>
      </c>
      <c r="M265">
        <f t="shared" ca="1" si="9"/>
        <v>-2304</v>
      </c>
      <c r="O265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17-SC2Rom-Par6/6</v>
      </c>
    </row>
    <row r="266" spans="1:15" x14ac:dyDescent="0.35">
      <c r="A266" t="s">
        <v>0</v>
      </c>
      <c r="B266" t="s">
        <v>48</v>
      </c>
      <c r="C266" s="1">
        <v>42892</v>
      </c>
      <c r="D266" t="s">
        <v>82</v>
      </c>
      <c r="E266" s="7">
        <v>26</v>
      </c>
      <c r="F266" s="7">
        <f>IFERROR(VLOOKUP(E266,Margins!$A:$B,2,TRUE),"")</f>
        <v>7.0000000000000007E-2</v>
      </c>
      <c r="G266" s="7">
        <f t="shared" si="8"/>
        <v>189.28000000000003</v>
      </c>
      <c r="H266" t="s">
        <v>67</v>
      </c>
      <c r="I266">
        <v>104</v>
      </c>
      <c r="J266">
        <f>IF(Table1[[#This Row],[Tickets Sold]]&gt;500,8,5)</f>
        <v>5</v>
      </c>
      <c r="K266">
        <v>91</v>
      </c>
      <c r="L266" t="str">
        <f>VLOOKUP(H266,Descriptions!A:B, 2, FALSE)</f>
        <v>Seating-disabled</v>
      </c>
      <c r="M266">
        <f t="shared" ca="1" si="9"/>
        <v>-2304</v>
      </c>
      <c r="O266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17-SCDRom-Par6/6</v>
      </c>
    </row>
    <row r="267" spans="1:15" x14ac:dyDescent="0.35">
      <c r="A267" t="s">
        <v>0</v>
      </c>
      <c r="B267" t="s">
        <v>48</v>
      </c>
      <c r="C267" s="1">
        <v>42892</v>
      </c>
      <c r="D267" t="s">
        <v>82</v>
      </c>
      <c r="E267" s="7">
        <v>34</v>
      </c>
      <c r="F267" s="7">
        <f>IFERROR(VLOOKUP(E267,Margins!$A:$B,2,TRUE),"")</f>
        <v>7.0000000000000007E-2</v>
      </c>
      <c r="G267" s="7">
        <f t="shared" si="8"/>
        <v>357.00000000000006</v>
      </c>
      <c r="H267" t="s">
        <v>11</v>
      </c>
      <c r="I267">
        <v>150</v>
      </c>
      <c r="J267">
        <f>IF(Table1[[#This Row],[Tickets Sold]]&gt;500,8,5)</f>
        <v>5</v>
      </c>
      <c r="K267">
        <v>140</v>
      </c>
      <c r="L267" t="str">
        <f>VLOOKUP(H267,Descriptions!A:B, 2, FALSE)</f>
        <v>Parking place</v>
      </c>
      <c r="M267">
        <f t="shared" ca="1" si="9"/>
        <v>-2304</v>
      </c>
      <c r="O267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17-POSRom-Par6/6</v>
      </c>
    </row>
    <row r="268" spans="1:15" x14ac:dyDescent="0.35">
      <c r="A268" t="s">
        <v>0</v>
      </c>
      <c r="B268" t="s">
        <v>48</v>
      </c>
      <c r="C268" s="1">
        <v>42892</v>
      </c>
      <c r="D268" t="s">
        <v>82</v>
      </c>
      <c r="E268" s="7">
        <v>188</v>
      </c>
      <c r="F268" s="7">
        <f>IFERROR(VLOOKUP(E268,Margins!$A:$B,2,TRUE),"")</f>
        <v>0.15</v>
      </c>
      <c r="G268" s="7">
        <f t="shared" si="8"/>
        <v>5640</v>
      </c>
      <c r="H268" t="s">
        <v>65</v>
      </c>
      <c r="I268">
        <v>200</v>
      </c>
      <c r="J268">
        <f>IF(Table1[[#This Row],[Tickets Sold]]&gt;500,8,5)</f>
        <v>5</v>
      </c>
      <c r="K268">
        <v>122</v>
      </c>
      <c r="L268" t="str">
        <f>VLOOKUP(H268,Descriptions!A:B, 2, FALSE)</f>
        <v>Ticket + Air travel Package</v>
      </c>
      <c r="M268">
        <f t="shared" ca="1" si="9"/>
        <v>-2304</v>
      </c>
      <c r="O268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17-TA1Rom-Par6/6</v>
      </c>
    </row>
    <row r="269" spans="1:15" x14ac:dyDescent="0.35">
      <c r="A269" t="s">
        <v>0</v>
      </c>
      <c r="B269" t="s">
        <v>48</v>
      </c>
      <c r="C269" s="1">
        <v>42892</v>
      </c>
      <c r="D269" t="s">
        <v>82</v>
      </c>
      <c r="E269" s="7">
        <v>344</v>
      </c>
      <c r="F269" s="7">
        <f>IFERROR(VLOOKUP(E269,Margins!$A:$B,2,TRUE),"")</f>
        <v>0.25</v>
      </c>
      <c r="G269" s="7">
        <f t="shared" si="8"/>
        <v>17200</v>
      </c>
      <c r="H269" t="s">
        <v>66</v>
      </c>
      <c r="I269">
        <v>200</v>
      </c>
      <c r="J269">
        <f>IF(Table1[[#This Row],[Tickets Sold]]&gt;500,8,5)</f>
        <v>5</v>
      </c>
      <c r="K269">
        <v>142</v>
      </c>
      <c r="L269" t="str">
        <f>VLOOKUP(H269,Descriptions!A:B, 2, FALSE)</f>
        <v>Ticket + Air travel + Hotel Package</v>
      </c>
      <c r="M269">
        <f t="shared" ca="1" si="9"/>
        <v>-2304</v>
      </c>
      <c r="O269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17-TA2Rom-Par6/6</v>
      </c>
    </row>
    <row r="270" spans="1:15" x14ac:dyDescent="0.35">
      <c r="A270" t="s">
        <v>0</v>
      </c>
      <c r="B270" t="s">
        <v>54</v>
      </c>
      <c r="C270" s="1">
        <v>42894</v>
      </c>
      <c r="D270" t="s">
        <v>82</v>
      </c>
      <c r="E270" s="7">
        <v>41</v>
      </c>
      <c r="F270" s="7">
        <f>IFERROR(VLOOKUP(E270,Margins!$A:$B,2,TRUE),"")</f>
        <v>7.0000000000000007E-2</v>
      </c>
      <c r="G270" s="7">
        <f t="shared" si="8"/>
        <v>3845.8</v>
      </c>
      <c r="H270" t="s">
        <v>62</v>
      </c>
      <c r="I270">
        <v>1340</v>
      </c>
      <c r="J270">
        <f>IF(Table1[[#This Row],[Tickets Sold]]&gt;500,8,5)</f>
        <v>8</v>
      </c>
      <c r="K270">
        <v>912</v>
      </c>
      <c r="L270" t="str">
        <f>VLOOKUP(H270,Descriptions!A:B, 2, FALSE)</f>
        <v>Seating Cat. 1</v>
      </c>
      <c r="M270">
        <f t="shared" ca="1" si="9"/>
        <v>-2302</v>
      </c>
      <c r="O270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17-SC1Rom-Ber8/6</v>
      </c>
    </row>
    <row r="271" spans="1:15" x14ac:dyDescent="0.35">
      <c r="A271" t="s">
        <v>0</v>
      </c>
      <c r="B271" t="s">
        <v>54</v>
      </c>
      <c r="C271" s="1">
        <v>42894</v>
      </c>
      <c r="D271" t="s">
        <v>82</v>
      </c>
      <c r="E271" s="7">
        <v>190</v>
      </c>
      <c r="F271" s="7">
        <f>IFERROR(VLOOKUP(E271,Margins!$A:$B,2,TRUE),"")</f>
        <v>0.15</v>
      </c>
      <c r="G271" s="7">
        <f t="shared" si="8"/>
        <v>8550</v>
      </c>
      <c r="H271" t="s">
        <v>65</v>
      </c>
      <c r="I271">
        <v>300</v>
      </c>
      <c r="J271">
        <f>IF(Table1[[#This Row],[Tickets Sold]]&gt;500,8,5)</f>
        <v>5</v>
      </c>
      <c r="K271">
        <v>267</v>
      </c>
      <c r="L271" t="str">
        <f>VLOOKUP(H271,Descriptions!A:B, 2, FALSE)</f>
        <v>Ticket + Air travel Package</v>
      </c>
      <c r="M271">
        <f t="shared" ca="1" si="9"/>
        <v>-2302</v>
      </c>
      <c r="O271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17-TA1Rom-Ber8/6</v>
      </c>
    </row>
    <row r="272" spans="1:15" x14ac:dyDescent="0.35">
      <c r="A272" t="s">
        <v>0</v>
      </c>
      <c r="B272" t="s">
        <v>54</v>
      </c>
      <c r="C272" s="1">
        <v>42894</v>
      </c>
      <c r="D272" t="s">
        <v>82</v>
      </c>
      <c r="E272" s="7">
        <v>360</v>
      </c>
      <c r="F272" s="7">
        <f>IFERROR(VLOOKUP(E272,Margins!$A:$B,2,TRUE),"")</f>
        <v>0.25</v>
      </c>
      <c r="G272" s="7">
        <f t="shared" si="8"/>
        <v>36000</v>
      </c>
      <c r="H272" t="s">
        <v>66</v>
      </c>
      <c r="I272">
        <v>400</v>
      </c>
      <c r="J272">
        <f>IF(Table1[[#This Row],[Tickets Sold]]&gt;500,8,5)</f>
        <v>5</v>
      </c>
      <c r="K272">
        <v>348</v>
      </c>
      <c r="L272" t="str">
        <f>VLOOKUP(H272,Descriptions!A:B, 2, FALSE)</f>
        <v>Ticket + Air travel + Hotel Package</v>
      </c>
      <c r="M272">
        <f t="shared" ca="1" si="9"/>
        <v>-2302</v>
      </c>
      <c r="O272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17-TA2Rom-Ber8/6</v>
      </c>
    </row>
    <row r="273" spans="1:15" x14ac:dyDescent="0.35">
      <c r="A273" t="s">
        <v>0</v>
      </c>
      <c r="B273" t="s">
        <v>56</v>
      </c>
      <c r="C273" s="1">
        <v>42897</v>
      </c>
      <c r="D273" t="s">
        <v>82</v>
      </c>
      <c r="E273" s="7">
        <v>79</v>
      </c>
      <c r="F273" s="7">
        <f>IFERROR(VLOOKUP(E273,Margins!$A:$B,2,TRUE),"")</f>
        <v>0.1</v>
      </c>
      <c r="G273" s="7">
        <f t="shared" si="8"/>
        <v>7473.4000000000005</v>
      </c>
      <c r="H273" t="s">
        <v>62</v>
      </c>
      <c r="I273">
        <v>946</v>
      </c>
      <c r="J273">
        <f>IF(Table1[[#This Row],[Tickets Sold]]&gt;500,8,5)</f>
        <v>8</v>
      </c>
      <c r="K273">
        <v>748</v>
      </c>
      <c r="L273" t="str">
        <f>VLOOKUP(H273,Descriptions!A:B, 2, FALSE)</f>
        <v>Seating Cat. 1</v>
      </c>
      <c r="M273">
        <f t="shared" ca="1" si="9"/>
        <v>-2299</v>
      </c>
      <c r="O273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17-SC1Rom-Edi11/6</v>
      </c>
    </row>
    <row r="274" spans="1:15" x14ac:dyDescent="0.35">
      <c r="A274" t="s">
        <v>0</v>
      </c>
      <c r="B274" t="s">
        <v>56</v>
      </c>
      <c r="C274" s="1">
        <v>42897</v>
      </c>
      <c r="D274" t="s">
        <v>82</v>
      </c>
      <c r="E274" s="7">
        <v>212</v>
      </c>
      <c r="F274" s="7">
        <f>IFERROR(VLOOKUP(E274,Margins!$A:$B,2,TRUE),"")</f>
        <v>0.25</v>
      </c>
      <c r="G274" s="7">
        <f t="shared" si="8"/>
        <v>15900</v>
      </c>
      <c r="H274" t="s">
        <v>65</v>
      </c>
      <c r="I274">
        <v>300</v>
      </c>
      <c r="J274">
        <f>IF(Table1[[#This Row],[Tickets Sold]]&gt;500,8,5)</f>
        <v>5</v>
      </c>
      <c r="K274">
        <v>174</v>
      </c>
      <c r="L274" t="str">
        <f>VLOOKUP(H274,Descriptions!A:B, 2, FALSE)</f>
        <v>Ticket + Air travel Package</v>
      </c>
      <c r="M274">
        <f t="shared" ca="1" si="9"/>
        <v>-2299</v>
      </c>
      <c r="O274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17-TA1Rom-Edi11/6</v>
      </c>
    </row>
    <row r="275" spans="1:15" x14ac:dyDescent="0.35">
      <c r="A275" t="s">
        <v>0</v>
      </c>
      <c r="B275" t="s">
        <v>56</v>
      </c>
      <c r="C275" s="1">
        <v>42897</v>
      </c>
      <c r="D275" t="s">
        <v>82</v>
      </c>
      <c r="E275" s="7">
        <v>306</v>
      </c>
      <c r="F275" s="7">
        <f>IFERROR(VLOOKUP(E275,Margins!$A:$B,2,TRUE),"")</f>
        <v>0.25</v>
      </c>
      <c r="G275" s="7">
        <f t="shared" si="8"/>
        <v>22950</v>
      </c>
      <c r="H275" t="s">
        <v>66</v>
      </c>
      <c r="I275">
        <v>300</v>
      </c>
      <c r="J275">
        <f>IF(Table1[[#This Row],[Tickets Sold]]&gt;500,8,5)</f>
        <v>5</v>
      </c>
      <c r="K275">
        <v>183</v>
      </c>
      <c r="L275" t="str">
        <f>VLOOKUP(H275,Descriptions!A:B, 2, FALSE)</f>
        <v>Ticket + Air travel + Hotel Package</v>
      </c>
      <c r="M275">
        <f t="shared" ca="1" si="9"/>
        <v>-2299</v>
      </c>
      <c r="O275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17-TA2Rom-Edi11/6</v>
      </c>
    </row>
    <row r="276" spans="1:15" x14ac:dyDescent="0.35">
      <c r="A276" t="s">
        <v>0</v>
      </c>
      <c r="B276" t="s">
        <v>54</v>
      </c>
      <c r="C276" s="1">
        <v>42905</v>
      </c>
      <c r="D276" t="s">
        <v>82</v>
      </c>
      <c r="E276" s="7">
        <v>47</v>
      </c>
      <c r="F276" s="7">
        <f>IFERROR(VLOOKUP(E276,Margins!$A:$B,2,TRUE),"")</f>
        <v>7.0000000000000007E-2</v>
      </c>
      <c r="G276" s="7">
        <f t="shared" si="8"/>
        <v>4112.5000000000009</v>
      </c>
      <c r="H276" t="s">
        <v>62</v>
      </c>
      <c r="I276">
        <v>1250</v>
      </c>
      <c r="J276">
        <f>IF(Table1[[#This Row],[Tickets Sold]]&gt;500,8,5)</f>
        <v>8</v>
      </c>
      <c r="K276">
        <v>1113</v>
      </c>
      <c r="L276" t="str">
        <f>VLOOKUP(H276,Descriptions!A:B, 2, FALSE)</f>
        <v>Seating Cat. 1</v>
      </c>
      <c r="M276">
        <f t="shared" ca="1" si="9"/>
        <v>-2294</v>
      </c>
      <c r="O276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17-SC1Rom-Ber19/6</v>
      </c>
    </row>
    <row r="277" spans="1:15" x14ac:dyDescent="0.35">
      <c r="A277" t="s">
        <v>0</v>
      </c>
      <c r="B277" t="s">
        <v>54</v>
      </c>
      <c r="C277" s="1">
        <v>42905</v>
      </c>
      <c r="D277" t="s">
        <v>82</v>
      </c>
      <c r="E277" s="7">
        <v>261</v>
      </c>
      <c r="F277" s="7">
        <f>IFERROR(VLOOKUP(E277,Margins!$A:$B,2,TRUE),"")</f>
        <v>0.25</v>
      </c>
      <c r="G277" s="7">
        <f t="shared" si="8"/>
        <v>19575</v>
      </c>
      <c r="H277" t="s">
        <v>65</v>
      </c>
      <c r="I277">
        <v>300</v>
      </c>
      <c r="J277">
        <f>IF(Table1[[#This Row],[Tickets Sold]]&gt;500,8,5)</f>
        <v>5</v>
      </c>
      <c r="K277">
        <v>213</v>
      </c>
      <c r="L277" t="str">
        <f>VLOOKUP(H277,Descriptions!A:B, 2, FALSE)</f>
        <v>Ticket + Air travel Package</v>
      </c>
      <c r="M277">
        <f t="shared" ca="1" si="9"/>
        <v>-2294</v>
      </c>
      <c r="O277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17-TA1Rom-Ber19/6</v>
      </c>
    </row>
    <row r="278" spans="1:15" x14ac:dyDescent="0.35">
      <c r="A278" t="s">
        <v>0</v>
      </c>
      <c r="B278" t="s">
        <v>54</v>
      </c>
      <c r="C278" s="1">
        <v>42905</v>
      </c>
      <c r="D278" t="s">
        <v>82</v>
      </c>
      <c r="E278" s="7">
        <v>397</v>
      </c>
      <c r="F278" s="7">
        <f>IFERROR(VLOOKUP(E278,Margins!$A:$B,2,TRUE),"")</f>
        <v>0.25</v>
      </c>
      <c r="G278" s="7">
        <f t="shared" si="8"/>
        <v>19850</v>
      </c>
      <c r="H278" t="s">
        <v>66</v>
      </c>
      <c r="I278">
        <v>200</v>
      </c>
      <c r="J278">
        <f>IF(Table1[[#This Row],[Tickets Sold]]&gt;500,8,5)</f>
        <v>5</v>
      </c>
      <c r="K278">
        <v>142</v>
      </c>
      <c r="L278" t="str">
        <f>VLOOKUP(H278,Descriptions!A:B, 2, FALSE)</f>
        <v>Ticket + Air travel + Hotel Package</v>
      </c>
      <c r="M278">
        <f t="shared" ca="1" si="9"/>
        <v>-2294</v>
      </c>
      <c r="O278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17-TA2Rom-Ber19/6</v>
      </c>
    </row>
    <row r="279" spans="1:15" x14ac:dyDescent="0.35">
      <c r="A279" t="s">
        <v>0</v>
      </c>
      <c r="B279" t="s">
        <v>48</v>
      </c>
      <c r="C279" s="1">
        <v>42918</v>
      </c>
      <c r="D279" t="s">
        <v>82</v>
      </c>
      <c r="E279" s="7">
        <v>64</v>
      </c>
      <c r="F279" s="7">
        <f>IFERROR(VLOOKUP(E279,Margins!$A:$B,2,TRUE),"")</f>
        <v>0.1</v>
      </c>
      <c r="G279" s="7">
        <f t="shared" si="8"/>
        <v>4147.2</v>
      </c>
      <c r="H279" t="s">
        <v>62</v>
      </c>
      <c r="I279">
        <v>648</v>
      </c>
      <c r="J279">
        <f>IF(Table1[[#This Row],[Tickets Sold]]&gt;500,8,5)</f>
        <v>5</v>
      </c>
      <c r="K279">
        <v>415</v>
      </c>
      <c r="L279" t="str">
        <f>VLOOKUP(H279,Descriptions!A:B, 2, FALSE)</f>
        <v>Seating Cat. 1</v>
      </c>
      <c r="M279">
        <f t="shared" ca="1" si="9"/>
        <v>-2284</v>
      </c>
      <c r="O279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17-SC1Rom-Par2/7</v>
      </c>
    </row>
    <row r="280" spans="1:15" x14ac:dyDescent="0.35">
      <c r="A280" t="s">
        <v>0</v>
      </c>
      <c r="B280" t="s">
        <v>48</v>
      </c>
      <c r="C280" s="1">
        <v>42918</v>
      </c>
      <c r="D280" t="s">
        <v>82</v>
      </c>
      <c r="E280" s="7">
        <v>91</v>
      </c>
      <c r="F280" s="7">
        <f>IFERROR(VLOOKUP(E280,Margins!$A:$B,2,TRUE),"")</f>
        <v>0.1</v>
      </c>
      <c r="G280" s="7">
        <f t="shared" si="8"/>
        <v>3749.2</v>
      </c>
      <c r="H280" t="s">
        <v>63</v>
      </c>
      <c r="I280">
        <v>412</v>
      </c>
      <c r="J280">
        <f>IF(Table1[[#This Row],[Tickets Sold]]&gt;500,8,5)</f>
        <v>5</v>
      </c>
      <c r="K280">
        <v>223</v>
      </c>
      <c r="L280" t="str">
        <f>VLOOKUP(H280,Descriptions!A:B, 2, FALSE)</f>
        <v>Seating Cat. 2</v>
      </c>
      <c r="M280">
        <f t="shared" ca="1" si="9"/>
        <v>-2284</v>
      </c>
      <c r="O280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17-SC2Rom-Par2/7</v>
      </c>
    </row>
    <row r="281" spans="1:15" x14ac:dyDescent="0.35">
      <c r="A281" t="s">
        <v>0</v>
      </c>
      <c r="B281" t="s">
        <v>48</v>
      </c>
      <c r="C281" s="1">
        <v>42918</v>
      </c>
      <c r="D281" t="s">
        <v>82</v>
      </c>
      <c r="E281" s="7">
        <v>24</v>
      </c>
      <c r="F281" s="7">
        <f>IFERROR(VLOOKUP(E281,Margins!$A:$B,2,TRUE),"")</f>
        <v>7.0000000000000007E-2</v>
      </c>
      <c r="G281" s="7">
        <f t="shared" si="8"/>
        <v>201.60000000000002</v>
      </c>
      <c r="H281" t="s">
        <v>67</v>
      </c>
      <c r="I281">
        <v>120</v>
      </c>
      <c r="J281">
        <f>IF(Table1[[#This Row],[Tickets Sold]]&gt;500,8,5)</f>
        <v>5</v>
      </c>
      <c r="K281">
        <v>93</v>
      </c>
      <c r="L281" t="str">
        <f>VLOOKUP(H281,Descriptions!A:B, 2, FALSE)</f>
        <v>Seating-disabled</v>
      </c>
      <c r="M281">
        <f t="shared" ca="1" si="9"/>
        <v>-2284</v>
      </c>
      <c r="O281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17-SCDRom-Par2/7</v>
      </c>
    </row>
    <row r="282" spans="1:15" x14ac:dyDescent="0.35">
      <c r="A282" t="s">
        <v>0</v>
      </c>
      <c r="B282" t="s">
        <v>48</v>
      </c>
      <c r="C282" s="1">
        <v>42918</v>
      </c>
      <c r="D282" t="s">
        <v>82</v>
      </c>
      <c r="E282" s="7">
        <v>30</v>
      </c>
      <c r="F282" s="7">
        <f>IFERROR(VLOOKUP(E282,Margins!$A:$B,2,TRUE),"")</f>
        <v>7.0000000000000007E-2</v>
      </c>
      <c r="G282" s="7">
        <f t="shared" si="8"/>
        <v>315</v>
      </c>
      <c r="H282" t="s">
        <v>11</v>
      </c>
      <c r="I282">
        <v>150</v>
      </c>
      <c r="J282">
        <f>IF(Table1[[#This Row],[Tickets Sold]]&gt;500,8,5)</f>
        <v>5</v>
      </c>
      <c r="K282">
        <v>89</v>
      </c>
      <c r="L282" t="str">
        <f>VLOOKUP(H282,Descriptions!A:B, 2, FALSE)</f>
        <v>Parking place</v>
      </c>
      <c r="M282">
        <f t="shared" ca="1" si="9"/>
        <v>-2284</v>
      </c>
      <c r="O282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17-POSRom-Par2/7</v>
      </c>
    </row>
    <row r="283" spans="1:15" x14ac:dyDescent="0.35">
      <c r="A283" t="s">
        <v>0</v>
      </c>
      <c r="B283" t="s">
        <v>48</v>
      </c>
      <c r="C283" s="1">
        <v>42918</v>
      </c>
      <c r="D283" t="s">
        <v>82</v>
      </c>
      <c r="E283" s="7">
        <v>291</v>
      </c>
      <c r="F283" s="7">
        <f>IFERROR(VLOOKUP(E283,Margins!$A:$B,2,TRUE),"")</f>
        <v>0.25</v>
      </c>
      <c r="G283" s="7">
        <f t="shared" si="8"/>
        <v>29100</v>
      </c>
      <c r="H283" t="s">
        <v>65</v>
      </c>
      <c r="I283">
        <v>400</v>
      </c>
      <c r="J283">
        <f>IF(Table1[[#This Row],[Tickets Sold]]&gt;500,8,5)</f>
        <v>5</v>
      </c>
      <c r="K283">
        <v>368</v>
      </c>
      <c r="L283" t="str">
        <f>VLOOKUP(H283,Descriptions!A:B, 2, FALSE)</f>
        <v>Ticket + Air travel Package</v>
      </c>
      <c r="M283">
        <f t="shared" ca="1" si="9"/>
        <v>-2284</v>
      </c>
      <c r="O283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17-TA1Rom-Par2/7</v>
      </c>
    </row>
    <row r="284" spans="1:15" x14ac:dyDescent="0.35">
      <c r="A284" t="s">
        <v>0</v>
      </c>
      <c r="B284" t="s">
        <v>48</v>
      </c>
      <c r="C284" s="1">
        <v>42918</v>
      </c>
      <c r="D284" t="s">
        <v>82</v>
      </c>
      <c r="E284" s="7">
        <v>345</v>
      </c>
      <c r="F284" s="7">
        <f>IFERROR(VLOOKUP(E284,Margins!$A:$B,2,TRUE),"")</f>
        <v>0.25</v>
      </c>
      <c r="G284" s="7">
        <f t="shared" si="8"/>
        <v>25875</v>
      </c>
      <c r="H284" t="s">
        <v>66</v>
      </c>
      <c r="I284">
        <v>300</v>
      </c>
      <c r="J284">
        <f>IF(Table1[[#This Row],[Tickets Sold]]&gt;500,8,5)</f>
        <v>5</v>
      </c>
      <c r="K284">
        <v>210</v>
      </c>
      <c r="L284" t="str">
        <f>VLOOKUP(H284,Descriptions!A:B, 2, FALSE)</f>
        <v>Ticket + Air travel + Hotel Package</v>
      </c>
      <c r="M284">
        <f t="shared" ca="1" si="9"/>
        <v>-2284</v>
      </c>
      <c r="O284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17-TA2Rom-Par2/7</v>
      </c>
    </row>
    <row r="285" spans="1:15" x14ac:dyDescent="0.35">
      <c r="A285" t="s">
        <v>0</v>
      </c>
      <c r="B285" t="s">
        <v>52</v>
      </c>
      <c r="C285" s="1">
        <v>42927</v>
      </c>
      <c r="D285" t="s">
        <v>82</v>
      </c>
      <c r="E285" s="7">
        <v>40</v>
      </c>
      <c r="F285" s="7">
        <f>IFERROR(VLOOKUP(E285,Margins!$A:$B,2,TRUE),"")</f>
        <v>7.0000000000000007E-2</v>
      </c>
      <c r="G285" s="7">
        <f t="shared" si="8"/>
        <v>3091.2000000000003</v>
      </c>
      <c r="H285" t="s">
        <v>62</v>
      </c>
      <c r="I285">
        <v>1104</v>
      </c>
      <c r="J285">
        <f>IF(Table1[[#This Row],[Tickets Sold]]&gt;500,8,5)</f>
        <v>8</v>
      </c>
      <c r="K285">
        <v>994</v>
      </c>
      <c r="L285" t="str">
        <f>VLOOKUP(H285,Descriptions!A:B, 2, FALSE)</f>
        <v>Seating Cat. 1</v>
      </c>
      <c r="M285">
        <f t="shared" ca="1" si="9"/>
        <v>-2279</v>
      </c>
      <c r="O285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17-SC1Rom-Lon11/7</v>
      </c>
    </row>
    <row r="286" spans="1:15" x14ac:dyDescent="0.35">
      <c r="A286" t="s">
        <v>0</v>
      </c>
      <c r="B286" t="s">
        <v>52</v>
      </c>
      <c r="C286" s="1">
        <v>42927</v>
      </c>
      <c r="D286" t="s">
        <v>82</v>
      </c>
      <c r="E286" s="7">
        <v>77</v>
      </c>
      <c r="F286" s="7">
        <f>IFERROR(VLOOKUP(E286,Margins!$A:$B,2,TRUE),"")</f>
        <v>0.1</v>
      </c>
      <c r="G286" s="7">
        <f t="shared" si="8"/>
        <v>2972.2000000000003</v>
      </c>
      <c r="H286" t="s">
        <v>63</v>
      </c>
      <c r="I286">
        <v>386</v>
      </c>
      <c r="J286">
        <f>IF(Table1[[#This Row],[Tickets Sold]]&gt;500,8,5)</f>
        <v>5</v>
      </c>
      <c r="K286">
        <v>205</v>
      </c>
      <c r="L286" t="str">
        <f>VLOOKUP(H286,Descriptions!A:B, 2, FALSE)</f>
        <v>Seating Cat. 2</v>
      </c>
      <c r="M286">
        <f t="shared" ca="1" si="9"/>
        <v>-2279</v>
      </c>
      <c r="O286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17-SC2Rom-Lon11/7</v>
      </c>
    </row>
    <row r="287" spans="1:15" x14ac:dyDescent="0.35">
      <c r="A287" t="s">
        <v>0</v>
      </c>
      <c r="B287" t="s">
        <v>52</v>
      </c>
      <c r="C287" s="1">
        <v>42927</v>
      </c>
      <c r="D287" t="s">
        <v>82</v>
      </c>
      <c r="E287" s="7">
        <v>165</v>
      </c>
      <c r="F287" s="7">
        <f>IFERROR(VLOOKUP(E287,Margins!$A:$B,2,TRUE),"")</f>
        <v>0.15</v>
      </c>
      <c r="G287" s="7">
        <f t="shared" si="8"/>
        <v>5197.5</v>
      </c>
      <c r="H287" t="s">
        <v>64</v>
      </c>
      <c r="I287">
        <v>210</v>
      </c>
      <c r="J287">
        <f>IF(Table1[[#This Row],[Tickets Sold]]&gt;500,8,5)</f>
        <v>5</v>
      </c>
      <c r="K287">
        <v>175</v>
      </c>
      <c r="L287" t="str">
        <f>VLOOKUP(H287,Descriptions!A:B, 2, FALSE)</f>
        <v>Seating Cat. 3</v>
      </c>
      <c r="M287">
        <f t="shared" ca="1" si="9"/>
        <v>-2279</v>
      </c>
      <c r="O287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17-SC3Rom-Lon11/7</v>
      </c>
    </row>
    <row r="288" spans="1:15" x14ac:dyDescent="0.35">
      <c r="A288" t="s">
        <v>0</v>
      </c>
      <c r="B288" t="s">
        <v>52</v>
      </c>
      <c r="C288" s="1">
        <v>42927</v>
      </c>
      <c r="D288" t="s">
        <v>82</v>
      </c>
      <c r="E288" s="7">
        <v>289</v>
      </c>
      <c r="F288" s="7">
        <f>IFERROR(VLOOKUP(E288,Margins!$A:$B,2,TRUE),"")</f>
        <v>0.25</v>
      </c>
      <c r="G288" s="7">
        <f t="shared" si="8"/>
        <v>21675</v>
      </c>
      <c r="H288" t="s">
        <v>65</v>
      </c>
      <c r="I288">
        <v>300</v>
      </c>
      <c r="J288">
        <f>IF(Table1[[#This Row],[Tickets Sold]]&gt;500,8,5)</f>
        <v>5</v>
      </c>
      <c r="K288">
        <v>177</v>
      </c>
      <c r="L288" t="str">
        <f>VLOOKUP(H288,Descriptions!A:B, 2, FALSE)</f>
        <v>Ticket + Air travel Package</v>
      </c>
      <c r="M288">
        <f t="shared" ca="1" si="9"/>
        <v>-2279</v>
      </c>
      <c r="O288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17-TA1Rom-Lon11/7</v>
      </c>
    </row>
    <row r="289" spans="1:15" x14ac:dyDescent="0.35">
      <c r="A289" t="s">
        <v>0</v>
      </c>
      <c r="B289" t="s">
        <v>52</v>
      </c>
      <c r="C289" s="1">
        <v>42927</v>
      </c>
      <c r="D289" t="s">
        <v>82</v>
      </c>
      <c r="E289" s="7">
        <v>349</v>
      </c>
      <c r="F289" s="7">
        <f>IFERROR(VLOOKUP(E289,Margins!$A:$B,2,TRUE),"")</f>
        <v>0.25</v>
      </c>
      <c r="G289" s="7">
        <f t="shared" si="8"/>
        <v>26175</v>
      </c>
      <c r="H289" t="s">
        <v>66</v>
      </c>
      <c r="I289">
        <v>300</v>
      </c>
      <c r="J289">
        <f>IF(Table1[[#This Row],[Tickets Sold]]&gt;500,8,5)</f>
        <v>5</v>
      </c>
      <c r="K289">
        <v>267</v>
      </c>
      <c r="L289" t="str">
        <f>VLOOKUP(H289,Descriptions!A:B, 2, FALSE)</f>
        <v>Ticket + Air travel + Hotel Package</v>
      </c>
      <c r="M289">
        <f t="shared" ca="1" si="9"/>
        <v>-2279</v>
      </c>
      <c r="O289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17-TA2Rom-Lon11/7</v>
      </c>
    </row>
    <row r="290" spans="1:15" x14ac:dyDescent="0.35">
      <c r="A290" t="s">
        <v>0</v>
      </c>
      <c r="B290" t="s">
        <v>52</v>
      </c>
      <c r="C290" s="1">
        <v>42938</v>
      </c>
      <c r="D290" t="s">
        <v>82</v>
      </c>
      <c r="E290" s="7">
        <v>74</v>
      </c>
      <c r="F290" s="7">
        <f>IFERROR(VLOOKUP(E290,Margins!$A:$B,2,TRUE),"")</f>
        <v>0.1</v>
      </c>
      <c r="G290" s="7">
        <f t="shared" si="8"/>
        <v>8169.6</v>
      </c>
      <c r="H290" t="s">
        <v>62</v>
      </c>
      <c r="I290">
        <v>1104</v>
      </c>
      <c r="J290">
        <f>IF(Table1[[#This Row],[Tickets Sold]]&gt;500,8,5)</f>
        <v>8</v>
      </c>
      <c r="K290">
        <v>619</v>
      </c>
      <c r="L290" t="str">
        <f>VLOOKUP(H290,Descriptions!A:B, 2, FALSE)</f>
        <v>Seating Cat. 1</v>
      </c>
      <c r="M290">
        <f t="shared" ca="1" si="9"/>
        <v>-2270</v>
      </c>
      <c r="O290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17-SC1Rom-Lon22/7</v>
      </c>
    </row>
    <row r="291" spans="1:15" x14ac:dyDescent="0.35">
      <c r="A291" t="s">
        <v>0</v>
      </c>
      <c r="B291" t="s">
        <v>52</v>
      </c>
      <c r="C291" s="1">
        <v>42938</v>
      </c>
      <c r="D291" t="s">
        <v>82</v>
      </c>
      <c r="E291" s="7">
        <v>82</v>
      </c>
      <c r="F291" s="7">
        <f>IFERROR(VLOOKUP(E291,Margins!$A:$B,2,TRUE),"")</f>
        <v>0.1</v>
      </c>
      <c r="G291" s="7">
        <f t="shared" si="8"/>
        <v>3165.2000000000003</v>
      </c>
      <c r="H291" t="s">
        <v>63</v>
      </c>
      <c r="I291">
        <v>386</v>
      </c>
      <c r="J291">
        <f>IF(Table1[[#This Row],[Tickets Sold]]&gt;500,8,5)</f>
        <v>5</v>
      </c>
      <c r="K291">
        <v>221</v>
      </c>
      <c r="L291" t="str">
        <f>VLOOKUP(H291,Descriptions!A:B, 2, FALSE)</f>
        <v>Seating Cat. 2</v>
      </c>
      <c r="M291">
        <f t="shared" ca="1" si="9"/>
        <v>-2270</v>
      </c>
      <c r="O291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17-SC2Rom-Lon22/7</v>
      </c>
    </row>
    <row r="292" spans="1:15" x14ac:dyDescent="0.35">
      <c r="A292" t="s">
        <v>0</v>
      </c>
      <c r="B292" t="s">
        <v>52</v>
      </c>
      <c r="C292" s="1">
        <v>42938</v>
      </c>
      <c r="D292" t="s">
        <v>82</v>
      </c>
      <c r="E292" s="7">
        <v>189</v>
      </c>
      <c r="F292" s="7">
        <f>IFERROR(VLOOKUP(E292,Margins!$A:$B,2,TRUE),"")</f>
        <v>0.15</v>
      </c>
      <c r="G292" s="7">
        <f t="shared" si="8"/>
        <v>5953.5</v>
      </c>
      <c r="H292" t="s">
        <v>64</v>
      </c>
      <c r="I292">
        <v>210</v>
      </c>
      <c r="J292">
        <f>IF(Table1[[#This Row],[Tickets Sold]]&gt;500,8,5)</f>
        <v>5</v>
      </c>
      <c r="K292">
        <v>135</v>
      </c>
      <c r="L292" t="str">
        <f>VLOOKUP(H292,Descriptions!A:B, 2, FALSE)</f>
        <v>Seating Cat. 3</v>
      </c>
      <c r="M292">
        <f t="shared" ca="1" si="9"/>
        <v>-2270</v>
      </c>
      <c r="O292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17-SC3Rom-Lon22/7</v>
      </c>
    </row>
    <row r="293" spans="1:15" x14ac:dyDescent="0.35">
      <c r="A293" t="s">
        <v>0</v>
      </c>
      <c r="B293" t="s">
        <v>52</v>
      </c>
      <c r="C293" s="1">
        <v>42938</v>
      </c>
      <c r="D293" t="s">
        <v>82</v>
      </c>
      <c r="E293" s="7">
        <v>299</v>
      </c>
      <c r="F293" s="7">
        <f>IFERROR(VLOOKUP(E293,Margins!$A:$B,2,TRUE),"")</f>
        <v>0.25</v>
      </c>
      <c r="G293" s="7">
        <f t="shared" si="8"/>
        <v>14950</v>
      </c>
      <c r="H293" t="s">
        <v>65</v>
      </c>
      <c r="I293">
        <v>200</v>
      </c>
      <c r="J293">
        <f>IF(Table1[[#This Row],[Tickets Sold]]&gt;500,8,5)</f>
        <v>5</v>
      </c>
      <c r="K293">
        <v>180</v>
      </c>
      <c r="L293" t="str">
        <f>VLOOKUP(H293,Descriptions!A:B, 2, FALSE)</f>
        <v>Ticket + Air travel Package</v>
      </c>
      <c r="M293">
        <f t="shared" ca="1" si="9"/>
        <v>-2270</v>
      </c>
      <c r="O293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17-TA1Rom-Lon22/7</v>
      </c>
    </row>
    <row r="294" spans="1:15" x14ac:dyDescent="0.35">
      <c r="A294" t="s">
        <v>0</v>
      </c>
      <c r="B294" t="s">
        <v>52</v>
      </c>
      <c r="C294" s="1">
        <v>42938</v>
      </c>
      <c r="D294" t="s">
        <v>82</v>
      </c>
      <c r="E294" s="7">
        <v>311</v>
      </c>
      <c r="F294" s="7">
        <f>IFERROR(VLOOKUP(E294,Margins!$A:$B,2,TRUE),"")</f>
        <v>0.25</v>
      </c>
      <c r="G294" s="7">
        <f t="shared" si="8"/>
        <v>23325</v>
      </c>
      <c r="H294" t="s">
        <v>66</v>
      </c>
      <c r="I294">
        <v>300</v>
      </c>
      <c r="J294">
        <f>IF(Table1[[#This Row],[Tickets Sold]]&gt;500,8,5)</f>
        <v>5</v>
      </c>
      <c r="K294">
        <v>258</v>
      </c>
      <c r="L294" t="str">
        <f>VLOOKUP(H294,Descriptions!A:B, 2, FALSE)</f>
        <v>Ticket + Air travel + Hotel Package</v>
      </c>
      <c r="M294">
        <f t="shared" ca="1" si="9"/>
        <v>-2270</v>
      </c>
      <c r="O294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17-TA2Rom-Lon22/7</v>
      </c>
    </row>
    <row r="295" spans="1:15" x14ac:dyDescent="0.35">
      <c r="A295" t="s">
        <v>0</v>
      </c>
      <c r="B295" t="s">
        <v>52</v>
      </c>
      <c r="C295" s="1">
        <v>42943</v>
      </c>
      <c r="D295" t="s">
        <v>82</v>
      </c>
      <c r="E295" s="7">
        <v>62</v>
      </c>
      <c r="F295" s="7">
        <f>IFERROR(VLOOKUP(E295,Margins!$A:$B,2,TRUE),"")</f>
        <v>0.1</v>
      </c>
      <c r="G295" s="7">
        <f t="shared" si="8"/>
        <v>6844.8</v>
      </c>
      <c r="H295" t="s">
        <v>62</v>
      </c>
      <c r="I295">
        <v>1104</v>
      </c>
      <c r="J295">
        <f>IF(Table1[[#This Row],[Tickets Sold]]&gt;500,8,5)</f>
        <v>8</v>
      </c>
      <c r="K295">
        <v>751</v>
      </c>
      <c r="L295" t="str">
        <f>VLOOKUP(H295,Descriptions!A:B, 2, FALSE)</f>
        <v>Seating Cat. 1</v>
      </c>
      <c r="M295">
        <f t="shared" ca="1" si="9"/>
        <v>-2267</v>
      </c>
      <c r="O295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17-SC1Rom-Lon27/7</v>
      </c>
    </row>
    <row r="296" spans="1:15" x14ac:dyDescent="0.35">
      <c r="A296" t="s">
        <v>0</v>
      </c>
      <c r="B296" t="s">
        <v>52</v>
      </c>
      <c r="C296" s="1">
        <v>42943</v>
      </c>
      <c r="D296" t="s">
        <v>82</v>
      </c>
      <c r="E296" s="7">
        <v>96</v>
      </c>
      <c r="F296" s="7">
        <f>IFERROR(VLOOKUP(E296,Margins!$A:$B,2,TRUE),"")</f>
        <v>0.1</v>
      </c>
      <c r="G296" s="7">
        <f t="shared" si="8"/>
        <v>3705.6000000000004</v>
      </c>
      <c r="H296" t="s">
        <v>63</v>
      </c>
      <c r="I296">
        <v>386</v>
      </c>
      <c r="J296">
        <f>IF(Table1[[#This Row],[Tickets Sold]]&gt;500,8,5)</f>
        <v>5</v>
      </c>
      <c r="K296">
        <v>263</v>
      </c>
      <c r="L296" t="str">
        <f>VLOOKUP(H296,Descriptions!A:B, 2, FALSE)</f>
        <v>Seating Cat. 2</v>
      </c>
      <c r="M296">
        <f t="shared" ca="1" si="9"/>
        <v>-2267</v>
      </c>
      <c r="O296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17-SC2Rom-Lon27/7</v>
      </c>
    </row>
    <row r="297" spans="1:15" x14ac:dyDescent="0.35">
      <c r="A297" t="s">
        <v>0</v>
      </c>
      <c r="B297" t="s">
        <v>52</v>
      </c>
      <c r="C297" s="1">
        <v>42943</v>
      </c>
      <c r="D297" t="s">
        <v>82</v>
      </c>
      <c r="E297" s="7">
        <v>193</v>
      </c>
      <c r="F297" s="7">
        <f>IFERROR(VLOOKUP(E297,Margins!$A:$B,2,TRUE),"")</f>
        <v>0.15</v>
      </c>
      <c r="G297" s="7">
        <f t="shared" si="8"/>
        <v>6079.5</v>
      </c>
      <c r="H297" t="s">
        <v>64</v>
      </c>
      <c r="I297">
        <v>210</v>
      </c>
      <c r="J297">
        <f>IF(Table1[[#This Row],[Tickets Sold]]&gt;500,8,5)</f>
        <v>5</v>
      </c>
      <c r="K297">
        <v>179</v>
      </c>
      <c r="L297" t="str">
        <f>VLOOKUP(H297,Descriptions!A:B, 2, FALSE)</f>
        <v>Seating Cat. 3</v>
      </c>
      <c r="M297">
        <f t="shared" ca="1" si="9"/>
        <v>-2267</v>
      </c>
      <c r="O297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17-SC3Rom-Lon27/7</v>
      </c>
    </row>
    <row r="298" spans="1:15" x14ac:dyDescent="0.35">
      <c r="A298" t="s">
        <v>0</v>
      </c>
      <c r="B298" t="s">
        <v>52</v>
      </c>
      <c r="C298" s="1">
        <v>42943</v>
      </c>
      <c r="D298" t="s">
        <v>82</v>
      </c>
      <c r="E298" s="7">
        <v>222</v>
      </c>
      <c r="F298" s="7">
        <f>IFERROR(VLOOKUP(E298,Margins!$A:$B,2,TRUE),"")</f>
        <v>0.25</v>
      </c>
      <c r="G298" s="7">
        <f t="shared" si="8"/>
        <v>22200</v>
      </c>
      <c r="H298" t="s">
        <v>65</v>
      </c>
      <c r="I298">
        <v>400</v>
      </c>
      <c r="J298">
        <f>IF(Table1[[#This Row],[Tickets Sold]]&gt;500,8,5)</f>
        <v>5</v>
      </c>
      <c r="K298">
        <v>352</v>
      </c>
      <c r="L298" t="str">
        <f>VLOOKUP(H298,Descriptions!A:B, 2, FALSE)</f>
        <v>Ticket + Air travel Package</v>
      </c>
      <c r="M298">
        <f t="shared" ca="1" si="9"/>
        <v>-2267</v>
      </c>
      <c r="O298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17-TA1Rom-Lon27/7</v>
      </c>
    </row>
    <row r="299" spans="1:15" x14ac:dyDescent="0.35">
      <c r="A299" t="s">
        <v>0</v>
      </c>
      <c r="B299" t="s">
        <v>52</v>
      </c>
      <c r="C299" s="1">
        <v>42943</v>
      </c>
      <c r="D299" t="s">
        <v>82</v>
      </c>
      <c r="E299" s="7">
        <v>392</v>
      </c>
      <c r="F299" s="7">
        <f>IFERROR(VLOOKUP(E299,Margins!$A:$B,2,TRUE),"")</f>
        <v>0.25</v>
      </c>
      <c r="G299" s="7">
        <f t="shared" si="8"/>
        <v>29400</v>
      </c>
      <c r="H299" t="s">
        <v>66</v>
      </c>
      <c r="I299">
        <v>300</v>
      </c>
      <c r="J299">
        <f>IF(Table1[[#This Row],[Tickets Sold]]&gt;500,8,5)</f>
        <v>5</v>
      </c>
      <c r="K299">
        <v>207</v>
      </c>
      <c r="L299" t="str">
        <f>VLOOKUP(H299,Descriptions!A:B, 2, FALSE)</f>
        <v>Ticket + Air travel + Hotel Package</v>
      </c>
      <c r="M299">
        <f t="shared" ca="1" si="9"/>
        <v>-2267</v>
      </c>
      <c r="O299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17-TA2Rom-Lon27/7</v>
      </c>
    </row>
    <row r="300" spans="1:15" x14ac:dyDescent="0.35">
      <c r="A300" t="s">
        <v>0</v>
      </c>
      <c r="B300" t="s">
        <v>51</v>
      </c>
      <c r="C300" s="1">
        <v>42975</v>
      </c>
      <c r="D300" t="s">
        <v>82</v>
      </c>
      <c r="E300" s="7">
        <v>54</v>
      </c>
      <c r="F300" s="7">
        <f>IFERROR(VLOOKUP(E300,Margins!$A:$B,2,TRUE),"")</f>
        <v>0.1</v>
      </c>
      <c r="G300" s="7">
        <f t="shared" si="8"/>
        <v>5259.6</v>
      </c>
      <c r="H300" t="s">
        <v>62</v>
      </c>
      <c r="I300">
        <v>974</v>
      </c>
      <c r="J300">
        <f>IF(Table1[[#This Row],[Tickets Sold]]&gt;500,8,5)</f>
        <v>8</v>
      </c>
      <c r="K300">
        <v>906</v>
      </c>
      <c r="L300" t="str">
        <f>VLOOKUP(H300,Descriptions!A:B, 2, FALSE)</f>
        <v>Seating Cat. 1</v>
      </c>
      <c r="M300">
        <f t="shared" ca="1" si="9"/>
        <v>-2244</v>
      </c>
      <c r="O300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17-SC1Rom-Bar28/8</v>
      </c>
    </row>
    <row r="301" spans="1:15" x14ac:dyDescent="0.35">
      <c r="A301" t="s">
        <v>0</v>
      </c>
      <c r="B301" t="s">
        <v>51</v>
      </c>
      <c r="C301" s="1">
        <v>42975</v>
      </c>
      <c r="D301" t="s">
        <v>82</v>
      </c>
      <c r="E301" s="7">
        <v>94</v>
      </c>
      <c r="F301" s="7">
        <f>IFERROR(VLOOKUP(E301,Margins!$A:$B,2,TRUE),"")</f>
        <v>0.1</v>
      </c>
      <c r="G301" s="7">
        <f t="shared" si="8"/>
        <v>4653</v>
      </c>
      <c r="H301" t="s">
        <v>63</v>
      </c>
      <c r="I301">
        <v>495</v>
      </c>
      <c r="J301">
        <f>IF(Table1[[#This Row],[Tickets Sold]]&gt;500,8,5)</f>
        <v>5</v>
      </c>
      <c r="K301">
        <v>248</v>
      </c>
      <c r="L301" t="str">
        <f>VLOOKUP(H301,Descriptions!A:B, 2, FALSE)</f>
        <v>Seating Cat. 2</v>
      </c>
      <c r="M301">
        <f t="shared" ca="1" si="9"/>
        <v>-2244</v>
      </c>
      <c r="O301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17-SC2Rom-Bar28/8</v>
      </c>
    </row>
    <row r="302" spans="1:15" x14ac:dyDescent="0.35">
      <c r="A302" t="s">
        <v>0</v>
      </c>
      <c r="B302" t="s">
        <v>51</v>
      </c>
      <c r="C302" s="1">
        <v>42975</v>
      </c>
      <c r="D302" t="s">
        <v>82</v>
      </c>
      <c r="E302" s="7">
        <v>300</v>
      </c>
      <c r="F302" s="7">
        <f>IFERROR(VLOOKUP(E302,Margins!$A:$B,2,TRUE),"")</f>
        <v>0.25</v>
      </c>
      <c r="G302" s="7">
        <f t="shared" si="8"/>
        <v>22500</v>
      </c>
      <c r="H302" t="s">
        <v>65</v>
      </c>
      <c r="I302">
        <v>300</v>
      </c>
      <c r="J302">
        <f>IF(Table1[[#This Row],[Tickets Sold]]&gt;500,8,5)</f>
        <v>5</v>
      </c>
      <c r="K302">
        <v>276</v>
      </c>
      <c r="L302" t="str">
        <f>VLOOKUP(H302,Descriptions!A:B, 2, FALSE)</f>
        <v>Ticket + Air travel Package</v>
      </c>
      <c r="M302">
        <f t="shared" ca="1" si="9"/>
        <v>-2244</v>
      </c>
      <c r="O302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17-TA1Rom-Bar28/8</v>
      </c>
    </row>
    <row r="303" spans="1:15" x14ac:dyDescent="0.35">
      <c r="A303" t="s">
        <v>0</v>
      </c>
      <c r="B303" t="s">
        <v>51</v>
      </c>
      <c r="C303" s="1">
        <v>42975</v>
      </c>
      <c r="D303" t="s">
        <v>82</v>
      </c>
      <c r="E303" s="7">
        <v>358</v>
      </c>
      <c r="F303" s="7">
        <f>IFERROR(VLOOKUP(E303,Margins!$A:$B,2,TRUE),"")</f>
        <v>0.25</v>
      </c>
      <c r="G303" s="7">
        <f t="shared" si="8"/>
        <v>26850</v>
      </c>
      <c r="H303" t="s">
        <v>66</v>
      </c>
      <c r="I303">
        <v>300</v>
      </c>
      <c r="J303">
        <f>IF(Table1[[#This Row],[Tickets Sold]]&gt;500,8,5)</f>
        <v>5</v>
      </c>
      <c r="K303">
        <v>240</v>
      </c>
      <c r="L303" t="str">
        <f>VLOOKUP(H303,Descriptions!A:B, 2, FALSE)</f>
        <v>Ticket + Air travel + Hotel Package</v>
      </c>
      <c r="M303">
        <f t="shared" ca="1" si="9"/>
        <v>-2244</v>
      </c>
      <c r="O303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17-TA2Rom-Bar28/8</v>
      </c>
    </row>
    <row r="304" spans="1:15" x14ac:dyDescent="0.35">
      <c r="A304" t="s">
        <v>1</v>
      </c>
      <c r="B304" t="s">
        <v>54</v>
      </c>
      <c r="C304" s="1">
        <v>42909</v>
      </c>
      <c r="D304" t="s">
        <v>79</v>
      </c>
      <c r="E304" s="7">
        <v>36</v>
      </c>
      <c r="F304" s="7">
        <f>IFERROR(VLOOKUP(E304,Margins!$A:$B,2,TRUE),"")</f>
        <v>7.0000000000000007E-2</v>
      </c>
      <c r="G304" s="7">
        <f t="shared" si="8"/>
        <v>26769.960000000006</v>
      </c>
      <c r="H304" t="s">
        <v>68</v>
      </c>
      <c r="I304">
        <v>10623</v>
      </c>
      <c r="J304">
        <f>IF(Table1[[#This Row],[Tickets Sold]]&gt;500,8,5)</f>
        <v>8</v>
      </c>
      <c r="K304">
        <v>9136</v>
      </c>
      <c r="L304" t="str">
        <f>VLOOKUP(H304,Descriptions!A:B, 2, FALSE)</f>
        <v>General Admission (1 day)</v>
      </c>
      <c r="M304">
        <f t="shared" ca="1" si="9"/>
        <v>-2291</v>
      </c>
      <c r="O304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17-GA1Sin-Ber23/6</v>
      </c>
    </row>
    <row r="305" spans="1:15" x14ac:dyDescent="0.35">
      <c r="A305" t="s">
        <v>1</v>
      </c>
      <c r="B305" t="s">
        <v>54</v>
      </c>
      <c r="C305" s="1">
        <v>42909</v>
      </c>
      <c r="D305" t="s">
        <v>79</v>
      </c>
      <c r="E305" s="7">
        <v>52</v>
      </c>
      <c r="F305" s="7">
        <f>IFERROR(VLOOKUP(E305,Margins!$A:$B,2,TRUE),"")</f>
        <v>0.1</v>
      </c>
      <c r="G305" s="7">
        <f t="shared" si="8"/>
        <v>9568</v>
      </c>
      <c r="H305" t="s">
        <v>62</v>
      </c>
      <c r="I305">
        <v>1840</v>
      </c>
      <c r="J305">
        <f>IF(Table1[[#This Row],[Tickets Sold]]&gt;500,8,5)</f>
        <v>8</v>
      </c>
      <c r="K305">
        <v>1546</v>
      </c>
      <c r="L305" t="str">
        <f>VLOOKUP(H305,Descriptions!A:B, 2, FALSE)</f>
        <v>Seating Cat. 1</v>
      </c>
      <c r="M305">
        <f t="shared" ca="1" si="9"/>
        <v>-2291</v>
      </c>
      <c r="O305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17-SC1Sin-Ber23/6</v>
      </c>
    </row>
    <row r="306" spans="1:15" x14ac:dyDescent="0.35">
      <c r="A306" t="s">
        <v>1</v>
      </c>
      <c r="B306" t="s">
        <v>54</v>
      </c>
      <c r="C306" s="1">
        <v>42909</v>
      </c>
      <c r="D306" t="s">
        <v>79</v>
      </c>
      <c r="E306" s="7">
        <v>89</v>
      </c>
      <c r="F306" s="7">
        <f>IFERROR(VLOOKUP(E306,Margins!$A:$B,2,TRUE),"")</f>
        <v>0.1</v>
      </c>
      <c r="G306" s="7">
        <f t="shared" si="8"/>
        <v>5785</v>
      </c>
      <c r="H306" t="s">
        <v>63</v>
      </c>
      <c r="I306">
        <v>650</v>
      </c>
      <c r="J306">
        <f>IF(Table1[[#This Row],[Tickets Sold]]&gt;500,8,5)</f>
        <v>8</v>
      </c>
      <c r="K306">
        <v>540</v>
      </c>
      <c r="L306" t="str">
        <f>VLOOKUP(H306,Descriptions!A:B, 2, FALSE)</f>
        <v>Seating Cat. 2</v>
      </c>
      <c r="M306">
        <f t="shared" ca="1" si="9"/>
        <v>-2291</v>
      </c>
      <c r="O306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17-SC2Sin-Ber23/6</v>
      </c>
    </row>
    <row r="307" spans="1:15" x14ac:dyDescent="0.35">
      <c r="A307" t="s">
        <v>1</v>
      </c>
      <c r="B307" t="s">
        <v>54</v>
      </c>
      <c r="C307" s="1">
        <v>42909</v>
      </c>
      <c r="D307" t="s">
        <v>79</v>
      </c>
      <c r="E307" s="7">
        <v>277</v>
      </c>
      <c r="F307" s="7">
        <f>IFERROR(VLOOKUP(E307,Margins!$A:$B,2,TRUE),"")</f>
        <v>0.25</v>
      </c>
      <c r="G307" s="7">
        <f t="shared" si="8"/>
        <v>13850</v>
      </c>
      <c r="H307" t="s">
        <v>65</v>
      </c>
      <c r="I307">
        <v>200</v>
      </c>
      <c r="J307">
        <f>IF(Table1[[#This Row],[Tickets Sold]]&gt;500,8,5)</f>
        <v>5</v>
      </c>
      <c r="K307">
        <v>128</v>
      </c>
      <c r="L307" t="str">
        <f>VLOOKUP(H307,Descriptions!A:B, 2, FALSE)</f>
        <v>Ticket + Air travel Package</v>
      </c>
      <c r="M307">
        <f t="shared" ca="1" si="9"/>
        <v>-2291</v>
      </c>
      <c r="O307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17-TA1Sin-Ber23/6</v>
      </c>
    </row>
    <row r="308" spans="1:15" x14ac:dyDescent="0.35">
      <c r="A308" t="s">
        <v>1</v>
      </c>
      <c r="B308" t="s">
        <v>54</v>
      </c>
      <c r="C308" s="1">
        <v>42909</v>
      </c>
      <c r="D308" t="s">
        <v>79</v>
      </c>
      <c r="E308" s="7">
        <v>336</v>
      </c>
      <c r="F308" s="7">
        <f>IFERROR(VLOOKUP(E308,Margins!$A:$B,2,TRUE),"")</f>
        <v>0.25</v>
      </c>
      <c r="G308" s="7">
        <f t="shared" si="8"/>
        <v>33600</v>
      </c>
      <c r="H308" t="s">
        <v>66</v>
      </c>
      <c r="I308">
        <v>400</v>
      </c>
      <c r="J308">
        <f>IF(Table1[[#This Row],[Tickets Sold]]&gt;500,8,5)</f>
        <v>5</v>
      </c>
      <c r="K308">
        <v>296</v>
      </c>
      <c r="L308" t="str">
        <f>VLOOKUP(H308,Descriptions!A:B, 2, FALSE)</f>
        <v>Ticket + Air travel + Hotel Package</v>
      </c>
      <c r="M308">
        <f t="shared" ca="1" si="9"/>
        <v>-2291</v>
      </c>
      <c r="O308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17-TA2Sin-Ber23/6</v>
      </c>
    </row>
    <row r="309" spans="1:15" x14ac:dyDescent="0.35">
      <c r="A309" t="s">
        <v>1</v>
      </c>
      <c r="B309" t="s">
        <v>47</v>
      </c>
      <c r="C309" s="1">
        <v>42922</v>
      </c>
      <c r="D309" t="s">
        <v>79</v>
      </c>
      <c r="E309" s="7">
        <v>54</v>
      </c>
      <c r="F309" s="7">
        <f>IFERROR(VLOOKUP(E309,Margins!$A:$B,2,TRUE),"")</f>
        <v>0.1</v>
      </c>
      <c r="G309" s="7">
        <f t="shared" si="8"/>
        <v>71155.8</v>
      </c>
      <c r="H309" t="s">
        <v>68</v>
      </c>
      <c r="I309">
        <v>13177</v>
      </c>
      <c r="J309">
        <f>IF(Table1[[#This Row],[Tickets Sold]]&gt;500,8,5)</f>
        <v>8</v>
      </c>
      <c r="K309">
        <v>12387</v>
      </c>
      <c r="L309" t="str">
        <f>VLOOKUP(H309,Descriptions!A:B, 2, FALSE)</f>
        <v>General Admission (1 day)</v>
      </c>
      <c r="M309">
        <f t="shared" ca="1" si="9"/>
        <v>-2282</v>
      </c>
      <c r="O309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17-GA1Sin-Sto6/7</v>
      </c>
    </row>
    <row r="310" spans="1:15" x14ac:dyDescent="0.35">
      <c r="A310" t="s">
        <v>1</v>
      </c>
      <c r="B310" t="s">
        <v>47</v>
      </c>
      <c r="C310" s="1">
        <v>42922</v>
      </c>
      <c r="D310" t="s">
        <v>79</v>
      </c>
      <c r="E310" s="7">
        <v>78</v>
      </c>
      <c r="F310" s="7">
        <f>IFERROR(VLOOKUP(E310,Margins!$A:$B,2,TRUE),"")</f>
        <v>0.1</v>
      </c>
      <c r="G310" s="7">
        <f t="shared" si="8"/>
        <v>11700.000000000002</v>
      </c>
      <c r="H310" t="s">
        <v>62</v>
      </c>
      <c r="I310">
        <v>1500</v>
      </c>
      <c r="J310">
        <f>IF(Table1[[#This Row],[Tickets Sold]]&gt;500,8,5)</f>
        <v>8</v>
      </c>
      <c r="K310">
        <v>1110</v>
      </c>
      <c r="L310" t="str">
        <f>VLOOKUP(H310,Descriptions!A:B, 2, FALSE)</f>
        <v>Seating Cat. 1</v>
      </c>
      <c r="M310">
        <f t="shared" ca="1" si="9"/>
        <v>-2282</v>
      </c>
      <c r="O310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17-SC1Sin-Sto6/7</v>
      </c>
    </row>
    <row r="311" spans="1:15" x14ac:dyDescent="0.35">
      <c r="A311" t="s">
        <v>1</v>
      </c>
      <c r="B311" t="s">
        <v>47</v>
      </c>
      <c r="C311" s="1">
        <v>42922</v>
      </c>
      <c r="D311" t="s">
        <v>79</v>
      </c>
      <c r="E311" s="7">
        <v>83</v>
      </c>
      <c r="F311" s="7">
        <f>IFERROR(VLOOKUP(E311,Margins!$A:$B,2,TRUE),"")</f>
        <v>0.1</v>
      </c>
      <c r="G311" s="7">
        <f t="shared" si="8"/>
        <v>5727.0000000000009</v>
      </c>
      <c r="H311" t="s">
        <v>63</v>
      </c>
      <c r="I311">
        <v>690</v>
      </c>
      <c r="J311">
        <f>IF(Table1[[#This Row],[Tickets Sold]]&gt;500,8,5)</f>
        <v>8</v>
      </c>
      <c r="K311">
        <v>594</v>
      </c>
      <c r="L311" t="str">
        <f>VLOOKUP(H311,Descriptions!A:B, 2, FALSE)</f>
        <v>Seating Cat. 2</v>
      </c>
      <c r="M311">
        <f t="shared" ca="1" si="9"/>
        <v>-2282</v>
      </c>
      <c r="O311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17-SC2Sin-Sto6/7</v>
      </c>
    </row>
    <row r="312" spans="1:15" x14ac:dyDescent="0.35">
      <c r="A312" t="s">
        <v>1</v>
      </c>
      <c r="B312" t="s">
        <v>47</v>
      </c>
      <c r="C312" s="1">
        <v>42922</v>
      </c>
      <c r="D312" t="s">
        <v>79</v>
      </c>
      <c r="E312" s="7">
        <v>240</v>
      </c>
      <c r="F312" s="7">
        <f>IFERROR(VLOOKUP(E312,Margins!$A:$B,2,TRUE),"")</f>
        <v>0.25</v>
      </c>
      <c r="G312" s="7">
        <f t="shared" si="8"/>
        <v>18000</v>
      </c>
      <c r="H312" t="s">
        <v>65</v>
      </c>
      <c r="I312">
        <v>300</v>
      </c>
      <c r="J312">
        <f>IF(Table1[[#This Row],[Tickets Sold]]&gt;500,8,5)</f>
        <v>5</v>
      </c>
      <c r="K312">
        <v>252</v>
      </c>
      <c r="L312" t="str">
        <f>VLOOKUP(H312,Descriptions!A:B, 2, FALSE)</f>
        <v>Ticket + Air travel Package</v>
      </c>
      <c r="M312">
        <f t="shared" ca="1" si="9"/>
        <v>-2282</v>
      </c>
      <c r="O312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17-TA1Sin-Sto6/7</v>
      </c>
    </row>
    <row r="313" spans="1:15" x14ac:dyDescent="0.35">
      <c r="A313" t="s">
        <v>1</v>
      </c>
      <c r="B313" t="s">
        <v>47</v>
      </c>
      <c r="C313" s="1">
        <v>42922</v>
      </c>
      <c r="D313" t="s">
        <v>79</v>
      </c>
      <c r="E313" s="7">
        <v>331</v>
      </c>
      <c r="F313" s="7">
        <f>IFERROR(VLOOKUP(E313,Margins!$A:$B,2,TRUE),"")</f>
        <v>0.25</v>
      </c>
      <c r="G313" s="7">
        <f t="shared" si="8"/>
        <v>24825</v>
      </c>
      <c r="H313" t="s">
        <v>66</v>
      </c>
      <c r="I313">
        <v>300</v>
      </c>
      <c r="J313">
        <f>IF(Table1[[#This Row],[Tickets Sold]]&gt;500,8,5)</f>
        <v>5</v>
      </c>
      <c r="K313">
        <v>279</v>
      </c>
      <c r="L313" t="str">
        <f>VLOOKUP(H313,Descriptions!A:B, 2, FALSE)</f>
        <v>Ticket + Air travel + Hotel Package</v>
      </c>
      <c r="M313">
        <f t="shared" ca="1" si="9"/>
        <v>-2282</v>
      </c>
      <c r="O313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17-TA2Sin-Sto6/7</v>
      </c>
    </row>
    <row r="314" spans="1:15" x14ac:dyDescent="0.35">
      <c r="A314" t="s">
        <v>1</v>
      </c>
      <c r="B314" t="s">
        <v>2</v>
      </c>
      <c r="C314" s="1">
        <v>42926</v>
      </c>
      <c r="D314" t="s">
        <v>79</v>
      </c>
      <c r="E314" s="7">
        <v>41</v>
      </c>
      <c r="F314" s="7">
        <f>IFERROR(VLOOKUP(E314,Margins!$A:$B,2,TRUE),"")</f>
        <v>7.0000000000000007E-2</v>
      </c>
      <c r="G314" s="7">
        <f t="shared" si="8"/>
        <v>19625.060000000001</v>
      </c>
      <c r="H314" t="s">
        <v>68</v>
      </c>
      <c r="I314">
        <v>6838</v>
      </c>
      <c r="J314">
        <f>IF(Table1[[#This Row],[Tickets Sold]]&gt;500,8,5)</f>
        <v>8</v>
      </c>
      <c r="K314">
        <v>6086</v>
      </c>
      <c r="L314" t="str">
        <f>VLOOKUP(H314,Descriptions!A:B, 2, FALSE)</f>
        <v>General Admission (1 day)</v>
      </c>
      <c r="M314">
        <f t="shared" ca="1" si="9"/>
        <v>-2279</v>
      </c>
      <c r="O314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17-GA1Sin-Vie10/7</v>
      </c>
    </row>
    <row r="315" spans="1:15" x14ac:dyDescent="0.35">
      <c r="A315" t="s">
        <v>1</v>
      </c>
      <c r="B315" t="s">
        <v>2</v>
      </c>
      <c r="C315" s="1">
        <v>42926</v>
      </c>
      <c r="D315" t="s">
        <v>79</v>
      </c>
      <c r="E315" s="7">
        <v>70</v>
      </c>
      <c r="F315" s="7">
        <f>IFERROR(VLOOKUP(E315,Margins!$A:$B,2,TRUE),"")</f>
        <v>0.1</v>
      </c>
      <c r="G315" s="7">
        <f t="shared" si="8"/>
        <v>4760</v>
      </c>
      <c r="H315" t="s">
        <v>62</v>
      </c>
      <c r="I315">
        <v>680</v>
      </c>
      <c r="J315">
        <f>IF(Table1[[#This Row],[Tickets Sold]]&gt;500,8,5)</f>
        <v>5</v>
      </c>
      <c r="K315">
        <v>470</v>
      </c>
      <c r="L315" t="str">
        <f>VLOOKUP(H315,Descriptions!A:B, 2, FALSE)</f>
        <v>Seating Cat. 1</v>
      </c>
      <c r="M315">
        <f t="shared" ca="1" si="9"/>
        <v>-2279</v>
      </c>
      <c r="O315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17-SC1Sin-Vie10/7</v>
      </c>
    </row>
    <row r="316" spans="1:15" x14ac:dyDescent="0.35">
      <c r="A316" t="s">
        <v>1</v>
      </c>
      <c r="B316" t="s">
        <v>2</v>
      </c>
      <c r="C316" s="1">
        <v>42926</v>
      </c>
      <c r="D316" t="s">
        <v>79</v>
      </c>
      <c r="E316" s="7">
        <v>76</v>
      </c>
      <c r="F316" s="7">
        <f>IFERROR(VLOOKUP(E316,Margins!$A:$B,2,TRUE),"")</f>
        <v>0.1</v>
      </c>
      <c r="G316" s="7">
        <f t="shared" si="8"/>
        <v>2660</v>
      </c>
      <c r="H316" t="s">
        <v>63</v>
      </c>
      <c r="I316">
        <v>350</v>
      </c>
      <c r="J316">
        <f>IF(Table1[[#This Row],[Tickets Sold]]&gt;500,8,5)</f>
        <v>5</v>
      </c>
      <c r="K316">
        <v>315</v>
      </c>
      <c r="L316" t="str">
        <f>VLOOKUP(H316,Descriptions!A:B, 2, FALSE)</f>
        <v>Seating Cat. 2</v>
      </c>
      <c r="M316">
        <f t="shared" ca="1" si="9"/>
        <v>-2279</v>
      </c>
      <c r="O316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17-SC2Sin-Vie10/7</v>
      </c>
    </row>
    <row r="317" spans="1:15" x14ac:dyDescent="0.35">
      <c r="A317" t="s">
        <v>1</v>
      </c>
      <c r="B317" t="s">
        <v>2</v>
      </c>
      <c r="C317" s="1">
        <v>42926</v>
      </c>
      <c r="D317" t="s">
        <v>79</v>
      </c>
      <c r="E317" s="7">
        <v>273</v>
      </c>
      <c r="F317" s="7">
        <f>IFERROR(VLOOKUP(E317,Margins!$A:$B,2,TRUE),"")</f>
        <v>0.25</v>
      </c>
      <c r="G317" s="7">
        <f t="shared" si="8"/>
        <v>20475</v>
      </c>
      <c r="H317" t="s">
        <v>65</v>
      </c>
      <c r="I317">
        <v>300</v>
      </c>
      <c r="J317">
        <f>IF(Table1[[#This Row],[Tickets Sold]]&gt;500,8,5)</f>
        <v>5</v>
      </c>
      <c r="K317">
        <v>264</v>
      </c>
      <c r="L317" t="str">
        <f>VLOOKUP(H317,Descriptions!A:B, 2, FALSE)</f>
        <v>Ticket + Air travel Package</v>
      </c>
      <c r="M317">
        <f t="shared" ca="1" si="9"/>
        <v>-2279</v>
      </c>
      <c r="O317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17-TA1Sin-Vie10/7</v>
      </c>
    </row>
    <row r="318" spans="1:15" x14ac:dyDescent="0.35">
      <c r="A318" t="s">
        <v>1</v>
      </c>
      <c r="B318" t="s">
        <v>2</v>
      </c>
      <c r="C318" s="1">
        <v>42926</v>
      </c>
      <c r="D318" t="s">
        <v>79</v>
      </c>
      <c r="E318" s="7">
        <v>375</v>
      </c>
      <c r="F318" s="7">
        <f>IFERROR(VLOOKUP(E318,Margins!$A:$B,2,TRUE),"")</f>
        <v>0.25</v>
      </c>
      <c r="G318" s="7">
        <f t="shared" si="8"/>
        <v>18750</v>
      </c>
      <c r="H318" t="s">
        <v>66</v>
      </c>
      <c r="I318">
        <v>200</v>
      </c>
      <c r="J318">
        <f>IF(Table1[[#This Row],[Tickets Sold]]&gt;500,8,5)</f>
        <v>5</v>
      </c>
      <c r="K318">
        <v>146</v>
      </c>
      <c r="L318" t="str">
        <f>VLOOKUP(H318,Descriptions!A:B, 2, FALSE)</f>
        <v>Ticket + Air travel + Hotel Package</v>
      </c>
      <c r="M318">
        <f t="shared" ca="1" si="9"/>
        <v>-2279</v>
      </c>
      <c r="O318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17-TA2Sin-Vie10/7</v>
      </c>
    </row>
    <row r="319" spans="1:15" x14ac:dyDescent="0.35">
      <c r="A319" t="s">
        <v>1</v>
      </c>
      <c r="B319" t="s">
        <v>48</v>
      </c>
      <c r="C319" s="1">
        <v>42937</v>
      </c>
      <c r="D319" t="s">
        <v>79</v>
      </c>
      <c r="E319" s="7">
        <v>52</v>
      </c>
      <c r="F319" s="7">
        <f>IFERROR(VLOOKUP(E319,Margins!$A:$B,2,TRUE),"")</f>
        <v>0.1</v>
      </c>
      <c r="G319" s="7">
        <f t="shared" si="8"/>
        <v>37055.200000000004</v>
      </c>
      <c r="H319" t="s">
        <v>68</v>
      </c>
      <c r="I319">
        <v>7126</v>
      </c>
      <c r="J319">
        <f>IF(Table1[[#This Row],[Tickets Sold]]&gt;500,8,5)</f>
        <v>8</v>
      </c>
      <c r="K319">
        <v>4419</v>
      </c>
      <c r="L319" t="str">
        <f>VLOOKUP(H319,Descriptions!A:B, 2, FALSE)</f>
        <v>General Admission (1 day)</v>
      </c>
      <c r="M319">
        <f t="shared" ca="1" si="9"/>
        <v>-2271</v>
      </c>
      <c r="O319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17-GA1Sin-Par21/7</v>
      </c>
    </row>
    <row r="320" spans="1:15" x14ac:dyDescent="0.35">
      <c r="A320" t="s">
        <v>1</v>
      </c>
      <c r="B320" t="s">
        <v>48</v>
      </c>
      <c r="C320" s="1">
        <v>42937</v>
      </c>
      <c r="D320" t="s">
        <v>79</v>
      </c>
      <c r="E320" s="7">
        <v>40</v>
      </c>
      <c r="F320" s="7">
        <f>IFERROR(VLOOKUP(E320,Margins!$A:$B,2,TRUE),"")</f>
        <v>7.0000000000000007E-2</v>
      </c>
      <c r="G320" s="7">
        <f t="shared" si="8"/>
        <v>4200</v>
      </c>
      <c r="H320" t="s">
        <v>62</v>
      </c>
      <c r="I320">
        <v>1500</v>
      </c>
      <c r="J320">
        <f>IF(Table1[[#This Row],[Tickets Sold]]&gt;500,8,5)</f>
        <v>8</v>
      </c>
      <c r="K320">
        <v>1185</v>
      </c>
      <c r="L320" t="str">
        <f>VLOOKUP(H320,Descriptions!A:B, 2, FALSE)</f>
        <v>Seating Cat. 1</v>
      </c>
      <c r="M320">
        <f t="shared" ca="1" si="9"/>
        <v>-2271</v>
      </c>
      <c r="O320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17-SC1Sin-Par21/7</v>
      </c>
    </row>
    <row r="321" spans="1:15" x14ac:dyDescent="0.35">
      <c r="A321" t="s">
        <v>1</v>
      </c>
      <c r="B321" t="s">
        <v>48</v>
      </c>
      <c r="C321" s="1">
        <v>42937</v>
      </c>
      <c r="D321" t="s">
        <v>79</v>
      </c>
      <c r="E321" s="7">
        <v>115</v>
      </c>
      <c r="F321" s="7">
        <f>IFERROR(VLOOKUP(E321,Margins!$A:$B,2,TRUE),"")</f>
        <v>0.15</v>
      </c>
      <c r="G321" s="7">
        <f t="shared" si="8"/>
        <v>8625</v>
      </c>
      <c r="H321" t="s">
        <v>63</v>
      </c>
      <c r="I321">
        <v>500</v>
      </c>
      <c r="J321">
        <f>IF(Table1[[#This Row],[Tickets Sold]]&gt;500,8,5)</f>
        <v>5</v>
      </c>
      <c r="K321">
        <v>475</v>
      </c>
      <c r="L321" t="str">
        <f>VLOOKUP(H321,Descriptions!A:B, 2, FALSE)</f>
        <v>Seating Cat. 2</v>
      </c>
      <c r="M321">
        <f t="shared" ca="1" si="9"/>
        <v>-2271</v>
      </c>
      <c r="O321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17-SC2Sin-Par21/7</v>
      </c>
    </row>
    <row r="322" spans="1:15" x14ac:dyDescent="0.35">
      <c r="A322" t="s">
        <v>1</v>
      </c>
      <c r="B322" t="s">
        <v>48</v>
      </c>
      <c r="C322" s="1">
        <v>42937</v>
      </c>
      <c r="D322" t="s">
        <v>79</v>
      </c>
      <c r="E322" s="7">
        <v>240</v>
      </c>
      <c r="F322" s="7">
        <f>IFERROR(VLOOKUP(E322,Margins!$A:$B,2,TRUE),"")</f>
        <v>0.25</v>
      </c>
      <c r="G322" s="7">
        <f t="shared" ref="G322:G385" si="10">IFERROR(E322*F322*I322,"")</f>
        <v>18000</v>
      </c>
      <c r="H322" t="s">
        <v>65</v>
      </c>
      <c r="I322">
        <v>300</v>
      </c>
      <c r="J322">
        <f>IF(Table1[[#This Row],[Tickets Sold]]&gt;500,8,5)</f>
        <v>5</v>
      </c>
      <c r="K322">
        <v>186</v>
      </c>
      <c r="L322" t="str">
        <f>VLOOKUP(H322,Descriptions!A:B, 2, FALSE)</f>
        <v>Ticket + Air travel Package</v>
      </c>
      <c r="M322">
        <f t="shared" ref="M322:M385" ca="1" si="11">NETWORKDAYS(TODAY(), C322-1)</f>
        <v>-2271</v>
      </c>
      <c r="O322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17-TA1Sin-Par21/7</v>
      </c>
    </row>
    <row r="323" spans="1:15" x14ac:dyDescent="0.35">
      <c r="A323" t="s">
        <v>1</v>
      </c>
      <c r="B323" t="s">
        <v>48</v>
      </c>
      <c r="C323" s="1">
        <v>42937</v>
      </c>
      <c r="D323" t="s">
        <v>79</v>
      </c>
      <c r="E323" s="7">
        <v>367</v>
      </c>
      <c r="F323" s="7">
        <f>IFERROR(VLOOKUP(E323,Margins!$A:$B,2,TRUE),"")</f>
        <v>0.25</v>
      </c>
      <c r="G323" s="7">
        <f t="shared" si="10"/>
        <v>27525</v>
      </c>
      <c r="H323" t="s">
        <v>66</v>
      </c>
      <c r="I323">
        <v>300</v>
      </c>
      <c r="J323">
        <f>IF(Table1[[#This Row],[Tickets Sold]]&gt;500,8,5)</f>
        <v>5</v>
      </c>
      <c r="K323">
        <v>246</v>
      </c>
      <c r="L323" t="str">
        <f>VLOOKUP(H323,Descriptions!A:B, 2, FALSE)</f>
        <v>Ticket + Air travel + Hotel Package</v>
      </c>
      <c r="M323">
        <f t="shared" ca="1" si="11"/>
        <v>-2271</v>
      </c>
      <c r="O323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17-TA2Sin-Par21/7</v>
      </c>
    </row>
    <row r="324" spans="1:15" x14ac:dyDescent="0.35">
      <c r="A324" t="s">
        <v>1</v>
      </c>
      <c r="B324" t="s">
        <v>51</v>
      </c>
      <c r="C324" s="1">
        <v>42974</v>
      </c>
      <c r="D324" t="s">
        <v>79</v>
      </c>
      <c r="E324" s="7">
        <v>48</v>
      </c>
      <c r="F324" s="7">
        <f>IFERROR(VLOOKUP(E324,Margins!$A:$B,2,TRUE),"")</f>
        <v>7.0000000000000007E-2</v>
      </c>
      <c r="G324" s="7">
        <f t="shared" si="10"/>
        <v>34151.040000000001</v>
      </c>
      <c r="H324" t="s">
        <v>68</v>
      </c>
      <c r="I324">
        <v>10164</v>
      </c>
      <c r="J324">
        <f>IF(Table1[[#This Row],[Tickets Sold]]&gt;500,8,5)</f>
        <v>8</v>
      </c>
      <c r="K324">
        <v>6810</v>
      </c>
      <c r="L324" t="str">
        <f>VLOOKUP(H324,Descriptions!A:B, 2, FALSE)</f>
        <v>General Admission (1 day)</v>
      </c>
      <c r="M324">
        <f t="shared" ca="1" si="11"/>
        <v>-2244</v>
      </c>
      <c r="O324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17-GA1Sin-Bar27/8</v>
      </c>
    </row>
    <row r="325" spans="1:15" x14ac:dyDescent="0.35">
      <c r="A325" t="s">
        <v>1</v>
      </c>
      <c r="B325" t="s">
        <v>51</v>
      </c>
      <c r="C325" s="1">
        <v>42974</v>
      </c>
      <c r="D325" t="s">
        <v>79</v>
      </c>
      <c r="E325" s="7">
        <v>45</v>
      </c>
      <c r="F325" s="7">
        <f>IFERROR(VLOOKUP(E325,Margins!$A:$B,2,TRUE),"")</f>
        <v>7.0000000000000007E-2</v>
      </c>
      <c r="G325" s="7">
        <f t="shared" si="10"/>
        <v>2394.0000000000005</v>
      </c>
      <c r="H325" t="s">
        <v>62</v>
      </c>
      <c r="I325">
        <v>760</v>
      </c>
      <c r="J325">
        <f>IF(Table1[[#This Row],[Tickets Sold]]&gt;500,8,5)</f>
        <v>5</v>
      </c>
      <c r="K325">
        <v>487</v>
      </c>
      <c r="L325" t="str">
        <f>VLOOKUP(H325,Descriptions!A:B, 2, FALSE)</f>
        <v>Seating Cat. 1</v>
      </c>
      <c r="M325">
        <f t="shared" ca="1" si="11"/>
        <v>-2244</v>
      </c>
      <c r="O325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17-SC1Sin-Bar27/8</v>
      </c>
    </row>
    <row r="326" spans="1:15" x14ac:dyDescent="0.35">
      <c r="A326" t="s">
        <v>1</v>
      </c>
      <c r="B326" t="s">
        <v>51</v>
      </c>
      <c r="C326" s="1">
        <v>42974</v>
      </c>
      <c r="D326" t="s">
        <v>79</v>
      </c>
      <c r="E326" s="7">
        <v>85</v>
      </c>
      <c r="F326" s="7">
        <f>IFERROR(VLOOKUP(E326,Margins!$A:$B,2,TRUE),"")</f>
        <v>0.1</v>
      </c>
      <c r="G326" s="7">
        <f t="shared" si="10"/>
        <v>4250</v>
      </c>
      <c r="H326" t="s">
        <v>63</v>
      </c>
      <c r="I326">
        <v>500</v>
      </c>
      <c r="J326">
        <f>IF(Table1[[#This Row],[Tickets Sold]]&gt;500,8,5)</f>
        <v>5</v>
      </c>
      <c r="K326">
        <v>415</v>
      </c>
      <c r="L326" t="str">
        <f>VLOOKUP(H326,Descriptions!A:B, 2, FALSE)</f>
        <v>Seating Cat. 2</v>
      </c>
      <c r="M326">
        <f t="shared" ca="1" si="11"/>
        <v>-2244</v>
      </c>
      <c r="O326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17-SC2Sin-Bar27/8</v>
      </c>
    </row>
    <row r="327" spans="1:15" x14ac:dyDescent="0.35">
      <c r="A327" t="s">
        <v>1</v>
      </c>
      <c r="B327" t="s">
        <v>51</v>
      </c>
      <c r="C327" s="1">
        <v>42974</v>
      </c>
      <c r="D327" t="s">
        <v>79</v>
      </c>
      <c r="E327" s="7">
        <v>271</v>
      </c>
      <c r="F327" s="7">
        <f>IFERROR(VLOOKUP(E327,Margins!$A:$B,2,TRUE),"")</f>
        <v>0.25</v>
      </c>
      <c r="G327" s="7">
        <f t="shared" si="10"/>
        <v>13550</v>
      </c>
      <c r="H327" t="s">
        <v>65</v>
      </c>
      <c r="I327">
        <v>200</v>
      </c>
      <c r="J327">
        <f>IF(Table1[[#This Row],[Tickets Sold]]&gt;500,8,5)</f>
        <v>5</v>
      </c>
      <c r="K327">
        <v>104</v>
      </c>
      <c r="L327" t="str">
        <f>VLOOKUP(H327,Descriptions!A:B, 2, FALSE)</f>
        <v>Ticket + Air travel Package</v>
      </c>
      <c r="M327">
        <f t="shared" ca="1" si="11"/>
        <v>-2244</v>
      </c>
      <c r="O327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17-TA1Sin-Bar27/8</v>
      </c>
    </row>
    <row r="328" spans="1:15" x14ac:dyDescent="0.35">
      <c r="A328" t="s">
        <v>1</v>
      </c>
      <c r="B328" t="s">
        <v>51</v>
      </c>
      <c r="C328" s="1">
        <v>42974</v>
      </c>
      <c r="D328" t="s">
        <v>79</v>
      </c>
      <c r="E328" s="7">
        <v>330</v>
      </c>
      <c r="F328" s="7">
        <f>IFERROR(VLOOKUP(E328,Margins!$A:$B,2,TRUE),"")</f>
        <v>0.25</v>
      </c>
      <c r="G328" s="7">
        <f t="shared" si="10"/>
        <v>24750</v>
      </c>
      <c r="H328" t="s">
        <v>66</v>
      </c>
      <c r="I328">
        <v>300</v>
      </c>
      <c r="J328">
        <f>IF(Table1[[#This Row],[Tickets Sold]]&gt;500,8,5)</f>
        <v>5</v>
      </c>
      <c r="K328">
        <v>168</v>
      </c>
      <c r="L328" t="str">
        <f>VLOOKUP(H328,Descriptions!A:B, 2, FALSE)</f>
        <v>Ticket + Air travel + Hotel Package</v>
      </c>
      <c r="M328">
        <f t="shared" ca="1" si="11"/>
        <v>-2244</v>
      </c>
      <c r="O328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17-TA2Sin-Bar27/8</v>
      </c>
    </row>
    <row r="329" spans="1:15" x14ac:dyDescent="0.35">
      <c r="A329" t="s">
        <v>13</v>
      </c>
      <c r="B329" t="s">
        <v>54</v>
      </c>
      <c r="C329" s="1">
        <v>42914</v>
      </c>
      <c r="D329" t="s">
        <v>29</v>
      </c>
      <c r="E329" s="7">
        <v>41</v>
      </c>
      <c r="F329" s="7">
        <f>IFERROR(VLOOKUP(E329,Margins!$A:$B,2,TRUE),"")</f>
        <v>7.0000000000000007E-2</v>
      </c>
      <c r="G329" s="7">
        <f t="shared" si="10"/>
        <v>215250</v>
      </c>
      <c r="H329" t="s">
        <v>68</v>
      </c>
      <c r="I329">
        <v>75000</v>
      </c>
      <c r="J329">
        <f>IF(Table1[[#This Row],[Tickets Sold]]&gt;500,8,5)</f>
        <v>8</v>
      </c>
      <c r="K329">
        <v>51750</v>
      </c>
      <c r="L329" t="str">
        <f>VLOOKUP(H329,Descriptions!A:B, 2, FALSE)</f>
        <v>General Admission (1 day)</v>
      </c>
      <c r="M329">
        <f t="shared" ca="1" si="11"/>
        <v>-2288</v>
      </c>
      <c r="O329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17-GA1Sou-Ber28/6</v>
      </c>
    </row>
    <row r="330" spans="1:15" x14ac:dyDescent="0.35">
      <c r="A330" t="s">
        <v>13</v>
      </c>
      <c r="B330" t="s">
        <v>54</v>
      </c>
      <c r="C330" s="1">
        <v>42914</v>
      </c>
      <c r="D330" t="s">
        <v>29</v>
      </c>
      <c r="E330" s="7">
        <v>78</v>
      </c>
      <c r="F330" s="7">
        <f>IFERROR(VLOOKUP(E330,Margins!$A:$B,2,TRUE),"")</f>
        <v>0.1</v>
      </c>
      <c r="G330" s="7">
        <f t="shared" si="10"/>
        <v>27300.000000000004</v>
      </c>
      <c r="H330" t="s">
        <v>62</v>
      </c>
      <c r="I330">
        <v>3500</v>
      </c>
      <c r="J330">
        <f>IF(Table1[[#This Row],[Tickets Sold]]&gt;500,8,5)</f>
        <v>8</v>
      </c>
      <c r="K330">
        <v>3045</v>
      </c>
      <c r="L330" t="str">
        <f>VLOOKUP(H330,Descriptions!A:B, 2, FALSE)</f>
        <v>Seating Cat. 1</v>
      </c>
      <c r="M330">
        <f t="shared" ca="1" si="11"/>
        <v>-2288</v>
      </c>
      <c r="O330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17-SC1Sou-Ber28/6</v>
      </c>
    </row>
    <row r="331" spans="1:15" x14ac:dyDescent="0.35">
      <c r="A331" t="s">
        <v>13</v>
      </c>
      <c r="B331" t="s">
        <v>54</v>
      </c>
      <c r="C331" s="1">
        <v>42914</v>
      </c>
      <c r="D331" t="s">
        <v>29</v>
      </c>
      <c r="E331" s="7">
        <v>59</v>
      </c>
      <c r="F331" s="7">
        <f>IFERROR(VLOOKUP(E331,Margins!$A:$B,2,TRUE),"")</f>
        <v>0.1</v>
      </c>
      <c r="G331" s="7">
        <f t="shared" si="10"/>
        <v>8850</v>
      </c>
      <c r="H331" t="s">
        <v>63</v>
      </c>
      <c r="I331">
        <v>1500</v>
      </c>
      <c r="J331">
        <f>IF(Table1[[#This Row],[Tickets Sold]]&gt;500,8,5)</f>
        <v>8</v>
      </c>
      <c r="K331">
        <v>1410</v>
      </c>
      <c r="L331" t="str">
        <f>VLOOKUP(H331,Descriptions!A:B, 2, FALSE)</f>
        <v>Seating Cat. 2</v>
      </c>
      <c r="M331">
        <f t="shared" ca="1" si="11"/>
        <v>-2288</v>
      </c>
      <c r="O331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17-SC2Sou-Ber28/6</v>
      </c>
    </row>
    <row r="332" spans="1:15" x14ac:dyDescent="0.35">
      <c r="A332" t="s">
        <v>13</v>
      </c>
      <c r="B332" t="s">
        <v>54</v>
      </c>
      <c r="C332" s="1">
        <v>42914</v>
      </c>
      <c r="D332" t="s">
        <v>29</v>
      </c>
      <c r="E332" s="7">
        <v>78</v>
      </c>
      <c r="F332" s="7">
        <f>IFERROR(VLOOKUP(E332,Margins!$A:$B,2,TRUE),"")</f>
        <v>0.1</v>
      </c>
      <c r="G332" s="7">
        <f t="shared" si="10"/>
        <v>3900.0000000000005</v>
      </c>
      <c r="H332" t="s">
        <v>64</v>
      </c>
      <c r="I332">
        <v>500</v>
      </c>
      <c r="J332">
        <f>IF(Table1[[#This Row],[Tickets Sold]]&gt;500,8,5)</f>
        <v>5</v>
      </c>
      <c r="K332">
        <v>255</v>
      </c>
      <c r="L332" t="str">
        <f>VLOOKUP(H332,Descriptions!A:B, 2, FALSE)</f>
        <v>Seating Cat. 3</v>
      </c>
      <c r="M332">
        <f t="shared" ca="1" si="11"/>
        <v>-2288</v>
      </c>
      <c r="O332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17-SC3Sou-Ber28/6</v>
      </c>
    </row>
    <row r="333" spans="1:15" x14ac:dyDescent="0.35">
      <c r="A333" t="s">
        <v>13</v>
      </c>
      <c r="B333" t="s">
        <v>54</v>
      </c>
      <c r="C333" s="1">
        <v>42914</v>
      </c>
      <c r="D333" t="s">
        <v>29</v>
      </c>
      <c r="E333" s="7">
        <v>182</v>
      </c>
      <c r="F333" s="7">
        <f>IFERROR(VLOOKUP(E333,Margins!$A:$B,2,TRUE),"")</f>
        <v>0.15</v>
      </c>
      <c r="G333" s="7">
        <f t="shared" si="10"/>
        <v>8190</v>
      </c>
      <c r="H333" t="s">
        <v>65</v>
      </c>
      <c r="I333">
        <v>300</v>
      </c>
      <c r="J333">
        <f>IF(Table1[[#This Row],[Tickets Sold]]&gt;500,8,5)</f>
        <v>5</v>
      </c>
      <c r="K333">
        <v>201</v>
      </c>
      <c r="L333" t="str">
        <f>VLOOKUP(H333,Descriptions!A:B, 2, FALSE)</f>
        <v>Ticket + Air travel Package</v>
      </c>
      <c r="M333">
        <f t="shared" ca="1" si="11"/>
        <v>-2288</v>
      </c>
      <c r="O333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17-TA1Sou-Ber28/6</v>
      </c>
    </row>
    <row r="334" spans="1:15" x14ac:dyDescent="0.35">
      <c r="A334" t="s">
        <v>13</v>
      </c>
      <c r="B334" t="s">
        <v>54</v>
      </c>
      <c r="C334" s="1">
        <v>42914</v>
      </c>
      <c r="D334" t="s">
        <v>29</v>
      </c>
      <c r="E334" s="7">
        <v>23</v>
      </c>
      <c r="F334" s="7">
        <f>IFERROR(VLOOKUP(E334,Margins!$A:$B,2,TRUE),"")</f>
        <v>7.0000000000000007E-2</v>
      </c>
      <c r="G334" s="7">
        <f t="shared" si="10"/>
        <v>177.10000000000002</v>
      </c>
      <c r="H334" t="s">
        <v>67</v>
      </c>
      <c r="I334">
        <v>110</v>
      </c>
      <c r="J334">
        <f>IF(Table1[[#This Row],[Tickets Sold]]&gt;500,8,5)</f>
        <v>5</v>
      </c>
      <c r="K334">
        <v>93</v>
      </c>
      <c r="L334" t="str">
        <f>VLOOKUP(H334,Descriptions!A:B, 2, FALSE)</f>
        <v>Seating-disabled</v>
      </c>
      <c r="M334">
        <f t="shared" ca="1" si="11"/>
        <v>-2288</v>
      </c>
      <c r="O334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17-SCDSou-Ber28/6</v>
      </c>
    </row>
    <row r="335" spans="1:15" x14ac:dyDescent="0.35">
      <c r="A335" t="s">
        <v>13</v>
      </c>
      <c r="B335" t="s">
        <v>54</v>
      </c>
      <c r="C335" s="1">
        <v>42914</v>
      </c>
      <c r="D335" t="s">
        <v>29</v>
      </c>
      <c r="E335" s="7">
        <v>377</v>
      </c>
      <c r="F335" s="7">
        <f>IFERROR(VLOOKUP(E335,Margins!$A:$B,2,TRUE),"")</f>
        <v>0.25</v>
      </c>
      <c r="G335" s="7">
        <f t="shared" si="10"/>
        <v>18850</v>
      </c>
      <c r="H335" t="s">
        <v>66</v>
      </c>
      <c r="I335">
        <v>200</v>
      </c>
      <c r="J335">
        <f>IF(Table1[[#This Row],[Tickets Sold]]&gt;500,8,5)</f>
        <v>5</v>
      </c>
      <c r="K335">
        <v>118</v>
      </c>
      <c r="L335" t="str">
        <f>VLOOKUP(H335,Descriptions!A:B, 2, FALSE)</f>
        <v>Ticket + Air travel + Hotel Package</v>
      </c>
      <c r="M335">
        <f t="shared" ca="1" si="11"/>
        <v>-2288</v>
      </c>
      <c r="O335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17-TA2Sou-Ber28/6</v>
      </c>
    </row>
    <row r="336" spans="1:15" x14ac:dyDescent="0.35">
      <c r="A336" t="s">
        <v>13</v>
      </c>
      <c r="B336" t="s">
        <v>54</v>
      </c>
      <c r="C336" s="1">
        <v>42921</v>
      </c>
      <c r="D336" t="s">
        <v>29</v>
      </c>
      <c r="E336" s="7">
        <v>47</v>
      </c>
      <c r="F336" s="7">
        <f>IFERROR(VLOOKUP(E336,Margins!$A:$B,2,TRUE),"")</f>
        <v>7.0000000000000007E-2</v>
      </c>
      <c r="G336" s="7">
        <f t="shared" si="10"/>
        <v>246750.00000000003</v>
      </c>
      <c r="H336" t="s">
        <v>68</v>
      </c>
      <c r="I336">
        <v>75000</v>
      </c>
      <c r="J336">
        <f>IF(Table1[[#This Row],[Tickets Sold]]&gt;500,8,5)</f>
        <v>8</v>
      </c>
      <c r="K336">
        <v>66000</v>
      </c>
      <c r="L336" t="str">
        <f>VLOOKUP(H336,Descriptions!A:B, 2, FALSE)</f>
        <v>General Admission (1 day)</v>
      </c>
      <c r="M336">
        <f t="shared" ca="1" si="11"/>
        <v>-2283</v>
      </c>
      <c r="O336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17-GA1Sou-Ber5/7</v>
      </c>
    </row>
    <row r="337" spans="1:15" x14ac:dyDescent="0.35">
      <c r="A337" t="s">
        <v>13</v>
      </c>
      <c r="B337" t="s">
        <v>54</v>
      </c>
      <c r="C337" s="1">
        <v>42921</v>
      </c>
      <c r="D337" t="s">
        <v>29</v>
      </c>
      <c r="E337" s="7">
        <v>73</v>
      </c>
      <c r="F337" s="7">
        <f>IFERROR(VLOOKUP(E337,Margins!$A:$B,2,TRUE),"")</f>
        <v>0.1</v>
      </c>
      <c r="G337" s="7">
        <f t="shared" si="10"/>
        <v>26280.000000000004</v>
      </c>
      <c r="H337" t="s">
        <v>62</v>
      </c>
      <c r="I337">
        <v>3600</v>
      </c>
      <c r="J337">
        <f>IF(Table1[[#This Row],[Tickets Sold]]&gt;500,8,5)</f>
        <v>8</v>
      </c>
      <c r="K337">
        <v>2268</v>
      </c>
      <c r="L337" t="str">
        <f>VLOOKUP(H337,Descriptions!A:B, 2, FALSE)</f>
        <v>Seating Cat. 1</v>
      </c>
      <c r="M337">
        <f t="shared" ca="1" si="11"/>
        <v>-2283</v>
      </c>
      <c r="O337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17-SC1Sou-Ber5/7</v>
      </c>
    </row>
    <row r="338" spans="1:15" x14ac:dyDescent="0.35">
      <c r="A338" t="s">
        <v>13</v>
      </c>
      <c r="B338" t="s">
        <v>54</v>
      </c>
      <c r="C338" s="1">
        <v>42921</v>
      </c>
      <c r="D338" t="s">
        <v>29</v>
      </c>
      <c r="E338" s="7">
        <v>79</v>
      </c>
      <c r="F338" s="7">
        <f>IFERROR(VLOOKUP(E338,Margins!$A:$B,2,TRUE),"")</f>
        <v>0.1</v>
      </c>
      <c r="G338" s="7">
        <f t="shared" si="10"/>
        <v>11060</v>
      </c>
      <c r="H338" t="s">
        <v>63</v>
      </c>
      <c r="I338">
        <v>1400</v>
      </c>
      <c r="J338">
        <f>IF(Table1[[#This Row],[Tickets Sold]]&gt;500,8,5)</f>
        <v>8</v>
      </c>
      <c r="K338">
        <v>1148</v>
      </c>
      <c r="L338" t="str">
        <f>VLOOKUP(H338,Descriptions!A:B, 2, FALSE)</f>
        <v>Seating Cat. 2</v>
      </c>
      <c r="M338">
        <f t="shared" ca="1" si="11"/>
        <v>-2283</v>
      </c>
      <c r="O338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17-SC2Sou-Ber5/7</v>
      </c>
    </row>
    <row r="339" spans="1:15" x14ac:dyDescent="0.35">
      <c r="A339" t="s">
        <v>13</v>
      </c>
      <c r="B339" t="s">
        <v>54</v>
      </c>
      <c r="C339" s="1">
        <v>42921</v>
      </c>
      <c r="D339" t="s">
        <v>29</v>
      </c>
      <c r="E339" s="7">
        <v>196</v>
      </c>
      <c r="F339" s="7">
        <f>IFERROR(VLOOKUP(E339,Margins!$A:$B,2,TRUE),"")</f>
        <v>0.15</v>
      </c>
      <c r="G339" s="7">
        <f t="shared" si="10"/>
        <v>8820</v>
      </c>
      <c r="H339" t="s">
        <v>65</v>
      </c>
      <c r="I339">
        <v>300</v>
      </c>
      <c r="J339">
        <f>IF(Table1[[#This Row],[Tickets Sold]]&gt;500,8,5)</f>
        <v>5</v>
      </c>
      <c r="K339">
        <v>282</v>
      </c>
      <c r="L339" t="str">
        <f>VLOOKUP(H339,Descriptions!A:B, 2, FALSE)</f>
        <v>Ticket + Air travel Package</v>
      </c>
      <c r="M339">
        <f t="shared" ca="1" si="11"/>
        <v>-2283</v>
      </c>
      <c r="O339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17-TA1Sou-Ber5/7</v>
      </c>
    </row>
    <row r="340" spans="1:15" x14ac:dyDescent="0.35">
      <c r="A340" t="s">
        <v>13</v>
      </c>
      <c r="B340" t="s">
        <v>54</v>
      </c>
      <c r="C340" s="1">
        <v>42921</v>
      </c>
      <c r="D340" t="s">
        <v>29</v>
      </c>
      <c r="E340" s="7">
        <v>20</v>
      </c>
      <c r="F340" s="7">
        <f>IFERROR(VLOOKUP(E340,Margins!$A:$B,2,TRUE),"")</f>
        <v>7.0000000000000007E-2</v>
      </c>
      <c r="G340" s="7">
        <f t="shared" si="10"/>
        <v>113.4</v>
      </c>
      <c r="H340" t="s">
        <v>67</v>
      </c>
      <c r="I340">
        <v>81</v>
      </c>
      <c r="J340">
        <f>IF(Table1[[#This Row],[Tickets Sold]]&gt;500,8,5)</f>
        <v>5</v>
      </c>
      <c r="K340">
        <v>46</v>
      </c>
      <c r="L340" t="str">
        <f>VLOOKUP(H340,Descriptions!A:B, 2, FALSE)</f>
        <v>Seating-disabled</v>
      </c>
      <c r="M340">
        <f t="shared" ca="1" si="11"/>
        <v>-2283</v>
      </c>
      <c r="O340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17-SCDSou-Ber5/7</v>
      </c>
    </row>
    <row r="341" spans="1:15" x14ac:dyDescent="0.35">
      <c r="A341" t="s">
        <v>13</v>
      </c>
      <c r="B341" t="s">
        <v>54</v>
      </c>
      <c r="C341" s="1">
        <v>42921</v>
      </c>
      <c r="D341" t="s">
        <v>29</v>
      </c>
      <c r="E341" s="7">
        <v>94</v>
      </c>
      <c r="F341" s="7">
        <f>IFERROR(VLOOKUP(E341,Margins!$A:$B,2,TRUE),"")</f>
        <v>0.1</v>
      </c>
      <c r="G341" s="7">
        <f t="shared" si="10"/>
        <v>470000</v>
      </c>
      <c r="H341" t="s">
        <v>69</v>
      </c>
      <c r="I341">
        <v>50000</v>
      </c>
      <c r="J341">
        <f>IF(Table1[[#This Row],[Tickets Sold]]&gt;500,8,5)</f>
        <v>8</v>
      </c>
      <c r="K341">
        <v>28000</v>
      </c>
      <c r="L341" t="str">
        <f>VLOOKUP(H341,Descriptions!A:B, 2, FALSE)</f>
        <v>General Admission (2 days)</v>
      </c>
      <c r="M341">
        <f t="shared" ca="1" si="11"/>
        <v>-2283</v>
      </c>
      <c r="O341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17-GA2Sou-Ber5/7</v>
      </c>
    </row>
    <row r="342" spans="1:15" x14ac:dyDescent="0.35">
      <c r="A342" t="s">
        <v>13</v>
      </c>
      <c r="B342" t="s">
        <v>54</v>
      </c>
      <c r="C342" s="1">
        <v>42921</v>
      </c>
      <c r="D342" t="s">
        <v>29</v>
      </c>
      <c r="E342" s="7">
        <v>334</v>
      </c>
      <c r="F342" s="7">
        <f>IFERROR(VLOOKUP(E342,Margins!$A:$B,2,TRUE),"")</f>
        <v>0.25</v>
      </c>
      <c r="G342" s="7">
        <f t="shared" si="10"/>
        <v>16700</v>
      </c>
      <c r="H342" t="s">
        <v>66</v>
      </c>
      <c r="I342">
        <v>200</v>
      </c>
      <c r="J342">
        <f>IF(Table1[[#This Row],[Tickets Sold]]&gt;500,8,5)</f>
        <v>5</v>
      </c>
      <c r="K342">
        <v>132</v>
      </c>
      <c r="L342" t="str">
        <f>VLOOKUP(H342,Descriptions!A:B, 2, FALSE)</f>
        <v>Ticket + Air travel + Hotel Package</v>
      </c>
      <c r="M342">
        <f t="shared" ca="1" si="11"/>
        <v>-2283</v>
      </c>
      <c r="O342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17-TA2Sou-Ber5/7</v>
      </c>
    </row>
    <row r="343" spans="1:15" x14ac:dyDescent="0.35">
      <c r="A343" t="s">
        <v>13</v>
      </c>
      <c r="B343" t="s">
        <v>54</v>
      </c>
      <c r="C343" s="1">
        <v>42929</v>
      </c>
      <c r="D343" t="s">
        <v>29</v>
      </c>
      <c r="E343" s="7">
        <v>47</v>
      </c>
      <c r="F343" s="7">
        <f>IFERROR(VLOOKUP(E343,Margins!$A:$B,2,TRUE),"")</f>
        <v>7.0000000000000007E-2</v>
      </c>
      <c r="G343" s="7">
        <f t="shared" si="10"/>
        <v>164500.00000000003</v>
      </c>
      <c r="H343" t="s">
        <v>68</v>
      </c>
      <c r="I343">
        <v>50000</v>
      </c>
      <c r="J343">
        <f>IF(Table1[[#This Row],[Tickets Sold]]&gt;500,8,5)</f>
        <v>8</v>
      </c>
      <c r="K343">
        <v>39000</v>
      </c>
      <c r="L343" t="str">
        <f>VLOOKUP(H343,Descriptions!A:B, 2, FALSE)</f>
        <v>General Admission (1 day)</v>
      </c>
      <c r="M343">
        <f t="shared" ca="1" si="11"/>
        <v>-2277</v>
      </c>
      <c r="O343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17-GA1Sou-Ber13/7</v>
      </c>
    </row>
    <row r="344" spans="1:15" x14ac:dyDescent="0.35">
      <c r="A344" t="s">
        <v>13</v>
      </c>
      <c r="B344" t="s">
        <v>54</v>
      </c>
      <c r="C344" s="1">
        <v>42929</v>
      </c>
      <c r="D344" t="s">
        <v>29</v>
      </c>
      <c r="E344" s="7">
        <v>51</v>
      </c>
      <c r="F344" s="7">
        <f>IFERROR(VLOOKUP(E344,Margins!$A:$B,2,TRUE),"")</f>
        <v>0.1</v>
      </c>
      <c r="G344" s="7">
        <f t="shared" si="10"/>
        <v>22950.000000000004</v>
      </c>
      <c r="H344" t="s">
        <v>62</v>
      </c>
      <c r="I344">
        <v>4500</v>
      </c>
      <c r="J344">
        <f>IF(Table1[[#This Row],[Tickets Sold]]&gt;500,8,5)</f>
        <v>8</v>
      </c>
      <c r="K344">
        <v>4230</v>
      </c>
      <c r="L344" t="str">
        <f>VLOOKUP(H344,Descriptions!A:B, 2, FALSE)</f>
        <v>Seating Cat. 1</v>
      </c>
      <c r="M344">
        <f t="shared" ca="1" si="11"/>
        <v>-2277</v>
      </c>
      <c r="O344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17-SC1Sou-Ber13/7</v>
      </c>
    </row>
    <row r="345" spans="1:15" x14ac:dyDescent="0.35">
      <c r="A345" t="s">
        <v>13</v>
      </c>
      <c r="B345" t="s">
        <v>54</v>
      </c>
      <c r="C345" s="1">
        <v>42929</v>
      </c>
      <c r="D345" t="s">
        <v>29</v>
      </c>
      <c r="E345" s="7">
        <v>117</v>
      </c>
      <c r="F345" s="7">
        <f>IFERROR(VLOOKUP(E345,Margins!$A:$B,2,TRUE),"")</f>
        <v>0.15</v>
      </c>
      <c r="G345" s="7">
        <f t="shared" si="10"/>
        <v>7020</v>
      </c>
      <c r="H345" t="s">
        <v>63</v>
      </c>
      <c r="I345">
        <v>400</v>
      </c>
      <c r="J345">
        <f>IF(Table1[[#This Row],[Tickets Sold]]&gt;500,8,5)</f>
        <v>5</v>
      </c>
      <c r="K345">
        <v>352</v>
      </c>
      <c r="L345" t="str">
        <f>VLOOKUP(H345,Descriptions!A:B, 2, FALSE)</f>
        <v>Seating Cat. 2</v>
      </c>
      <c r="M345">
        <f t="shared" ca="1" si="11"/>
        <v>-2277</v>
      </c>
      <c r="O345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17-SC2Sou-Ber13/7</v>
      </c>
    </row>
    <row r="346" spans="1:15" x14ac:dyDescent="0.35">
      <c r="A346" t="s">
        <v>13</v>
      </c>
      <c r="B346" t="s">
        <v>54</v>
      </c>
      <c r="C346" s="1">
        <v>42929</v>
      </c>
      <c r="D346" t="s">
        <v>29</v>
      </c>
      <c r="E346" s="7">
        <v>265</v>
      </c>
      <c r="F346" s="7">
        <f>IFERROR(VLOOKUP(E346,Margins!$A:$B,2,TRUE),"")</f>
        <v>0.25</v>
      </c>
      <c r="G346" s="7">
        <f t="shared" si="10"/>
        <v>19875</v>
      </c>
      <c r="H346" t="s">
        <v>65</v>
      </c>
      <c r="I346">
        <v>300</v>
      </c>
      <c r="J346">
        <f>IF(Table1[[#This Row],[Tickets Sold]]&gt;500,8,5)</f>
        <v>5</v>
      </c>
      <c r="K346">
        <v>192</v>
      </c>
      <c r="L346" t="str">
        <f>VLOOKUP(H346,Descriptions!A:B, 2, FALSE)</f>
        <v>Ticket + Air travel Package</v>
      </c>
      <c r="M346">
        <f t="shared" ca="1" si="11"/>
        <v>-2277</v>
      </c>
      <c r="O346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17-TA1Sou-Ber13/7</v>
      </c>
    </row>
    <row r="347" spans="1:15" x14ac:dyDescent="0.35">
      <c r="A347" t="s">
        <v>13</v>
      </c>
      <c r="B347" t="s">
        <v>54</v>
      </c>
      <c r="C347" s="1">
        <v>42929</v>
      </c>
      <c r="D347" t="s">
        <v>29</v>
      </c>
      <c r="E347" s="7">
        <v>24</v>
      </c>
      <c r="F347" s="7">
        <f>IFERROR(VLOOKUP(E347,Margins!$A:$B,2,TRUE),"")</f>
        <v>7.0000000000000007E-2</v>
      </c>
      <c r="G347" s="7">
        <f t="shared" si="10"/>
        <v>179.76000000000002</v>
      </c>
      <c r="H347" t="s">
        <v>67</v>
      </c>
      <c r="I347">
        <v>107</v>
      </c>
      <c r="J347">
        <f>IF(Table1[[#This Row],[Tickets Sold]]&gt;500,8,5)</f>
        <v>5</v>
      </c>
      <c r="K347">
        <v>61</v>
      </c>
      <c r="L347" t="str">
        <f>VLOOKUP(H347,Descriptions!A:B, 2, FALSE)</f>
        <v>Seating-disabled</v>
      </c>
      <c r="M347">
        <f t="shared" ca="1" si="11"/>
        <v>-2277</v>
      </c>
      <c r="O347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17-SCDSou-Ber13/7</v>
      </c>
    </row>
    <row r="348" spans="1:15" x14ac:dyDescent="0.35">
      <c r="A348" t="s">
        <v>13</v>
      </c>
      <c r="B348" t="s">
        <v>54</v>
      </c>
      <c r="C348" s="1">
        <v>42929</v>
      </c>
      <c r="D348" t="s">
        <v>29</v>
      </c>
      <c r="E348" s="7">
        <v>340</v>
      </c>
      <c r="F348" s="7">
        <f>IFERROR(VLOOKUP(E348,Margins!$A:$B,2,TRUE),"")</f>
        <v>0.25</v>
      </c>
      <c r="G348" s="7">
        <f t="shared" si="10"/>
        <v>25500</v>
      </c>
      <c r="H348" t="s">
        <v>66</v>
      </c>
      <c r="I348">
        <v>300</v>
      </c>
      <c r="J348">
        <f>IF(Table1[[#This Row],[Tickets Sold]]&gt;500,8,5)</f>
        <v>5</v>
      </c>
      <c r="K348">
        <v>189</v>
      </c>
      <c r="L348" t="str">
        <f>VLOOKUP(H348,Descriptions!A:B, 2, FALSE)</f>
        <v>Ticket + Air travel + Hotel Package</v>
      </c>
      <c r="M348">
        <f t="shared" ca="1" si="11"/>
        <v>-2277</v>
      </c>
      <c r="O348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17-TA2Sou-Ber13/7</v>
      </c>
    </row>
    <row r="349" spans="1:15" x14ac:dyDescent="0.35">
      <c r="A349" t="s">
        <v>13</v>
      </c>
      <c r="B349" t="s">
        <v>54</v>
      </c>
      <c r="C349" s="1">
        <v>42930</v>
      </c>
      <c r="D349" t="s">
        <v>29</v>
      </c>
      <c r="E349" s="7">
        <v>47</v>
      </c>
      <c r="F349" s="7">
        <f>IFERROR(VLOOKUP(E349,Margins!$A:$B,2,TRUE),"")</f>
        <v>7.0000000000000007E-2</v>
      </c>
      <c r="G349" s="7">
        <f t="shared" si="10"/>
        <v>164500.00000000003</v>
      </c>
      <c r="H349" t="s">
        <v>68</v>
      </c>
      <c r="I349">
        <v>50000</v>
      </c>
      <c r="J349">
        <f>IF(Table1[[#This Row],[Tickets Sold]]&gt;500,8,5)</f>
        <v>8</v>
      </c>
      <c r="K349">
        <v>44500</v>
      </c>
      <c r="L349" t="str">
        <f>VLOOKUP(H349,Descriptions!A:B, 2, FALSE)</f>
        <v>General Admission (1 day)</v>
      </c>
      <c r="M349">
        <f t="shared" ca="1" si="11"/>
        <v>-2276</v>
      </c>
      <c r="O349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17-GA1Sou-Ber14/7</v>
      </c>
    </row>
    <row r="350" spans="1:15" x14ac:dyDescent="0.35">
      <c r="A350" t="s">
        <v>13</v>
      </c>
      <c r="B350" t="s">
        <v>54</v>
      </c>
      <c r="C350" s="1">
        <v>42930</v>
      </c>
      <c r="D350" t="s">
        <v>29</v>
      </c>
      <c r="E350" s="7">
        <v>61</v>
      </c>
      <c r="F350" s="7">
        <f>IFERROR(VLOOKUP(E350,Margins!$A:$B,2,TRUE),"")</f>
        <v>0.1</v>
      </c>
      <c r="G350" s="7">
        <f t="shared" si="10"/>
        <v>27450.000000000004</v>
      </c>
      <c r="H350" t="s">
        <v>62</v>
      </c>
      <c r="I350">
        <v>4500</v>
      </c>
      <c r="J350">
        <f>IF(Table1[[#This Row],[Tickets Sold]]&gt;500,8,5)</f>
        <v>8</v>
      </c>
      <c r="K350">
        <v>3690</v>
      </c>
      <c r="L350" t="str">
        <f>VLOOKUP(H350,Descriptions!A:B, 2, FALSE)</f>
        <v>Seating Cat. 1</v>
      </c>
      <c r="M350">
        <f t="shared" ca="1" si="11"/>
        <v>-2276</v>
      </c>
      <c r="O350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17-SC1Sou-Ber14/7</v>
      </c>
    </row>
    <row r="351" spans="1:15" x14ac:dyDescent="0.35">
      <c r="A351" t="s">
        <v>13</v>
      </c>
      <c r="B351" t="s">
        <v>54</v>
      </c>
      <c r="C351" s="1">
        <v>42930</v>
      </c>
      <c r="D351" t="s">
        <v>29</v>
      </c>
      <c r="E351" s="7">
        <v>89</v>
      </c>
      <c r="F351" s="7">
        <f>IFERROR(VLOOKUP(E351,Margins!$A:$B,2,TRUE),"")</f>
        <v>0.1</v>
      </c>
      <c r="G351" s="7">
        <f t="shared" si="10"/>
        <v>3560</v>
      </c>
      <c r="H351" t="s">
        <v>63</v>
      </c>
      <c r="I351">
        <v>400</v>
      </c>
      <c r="J351">
        <f>IF(Table1[[#This Row],[Tickets Sold]]&gt;500,8,5)</f>
        <v>5</v>
      </c>
      <c r="K351">
        <v>216</v>
      </c>
      <c r="L351" t="str">
        <f>VLOOKUP(H351,Descriptions!A:B, 2, FALSE)</f>
        <v>Seating Cat. 2</v>
      </c>
      <c r="M351">
        <f t="shared" ca="1" si="11"/>
        <v>-2276</v>
      </c>
      <c r="O351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17-SC2Sou-Ber14/7</v>
      </c>
    </row>
    <row r="352" spans="1:15" x14ac:dyDescent="0.35">
      <c r="A352" t="s">
        <v>13</v>
      </c>
      <c r="B352" t="s">
        <v>54</v>
      </c>
      <c r="C352" s="1">
        <v>42930</v>
      </c>
      <c r="D352" t="s">
        <v>29</v>
      </c>
      <c r="E352" s="7">
        <v>247</v>
      </c>
      <c r="F352" s="7">
        <f>IFERROR(VLOOKUP(E352,Margins!$A:$B,2,TRUE),"")</f>
        <v>0.25</v>
      </c>
      <c r="G352" s="7">
        <f t="shared" si="10"/>
        <v>12350</v>
      </c>
      <c r="H352" t="s">
        <v>65</v>
      </c>
      <c r="I352">
        <v>200</v>
      </c>
      <c r="J352">
        <f>IF(Table1[[#This Row],[Tickets Sold]]&gt;500,8,5)</f>
        <v>5</v>
      </c>
      <c r="K352">
        <v>156</v>
      </c>
      <c r="L352" t="str">
        <f>VLOOKUP(H352,Descriptions!A:B, 2, FALSE)</f>
        <v>Ticket + Air travel Package</v>
      </c>
      <c r="M352">
        <f t="shared" ca="1" si="11"/>
        <v>-2276</v>
      </c>
      <c r="O352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17-TA1Sou-Ber14/7</v>
      </c>
    </row>
    <row r="353" spans="1:15" x14ac:dyDescent="0.35">
      <c r="A353" t="s">
        <v>13</v>
      </c>
      <c r="B353" t="s">
        <v>54</v>
      </c>
      <c r="C353" s="1">
        <v>42930</v>
      </c>
      <c r="D353" t="s">
        <v>29</v>
      </c>
      <c r="E353" s="7">
        <v>29</v>
      </c>
      <c r="F353" s="7">
        <f>IFERROR(VLOOKUP(E353,Margins!$A:$B,2,TRUE),"")</f>
        <v>7.0000000000000007E-2</v>
      </c>
      <c r="G353" s="7">
        <f t="shared" si="10"/>
        <v>180.67000000000002</v>
      </c>
      <c r="H353" t="s">
        <v>67</v>
      </c>
      <c r="I353">
        <v>89</v>
      </c>
      <c r="J353">
        <f>IF(Table1[[#This Row],[Tickets Sold]]&gt;500,8,5)</f>
        <v>5</v>
      </c>
      <c r="K353">
        <v>65</v>
      </c>
      <c r="L353" t="str">
        <f>VLOOKUP(H353,Descriptions!A:B, 2, FALSE)</f>
        <v>Seating-disabled</v>
      </c>
      <c r="M353">
        <f t="shared" ca="1" si="11"/>
        <v>-2276</v>
      </c>
      <c r="O353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17-SCDSou-Ber14/7</v>
      </c>
    </row>
    <row r="354" spans="1:15" x14ac:dyDescent="0.35">
      <c r="A354" t="s">
        <v>13</v>
      </c>
      <c r="B354" t="s">
        <v>54</v>
      </c>
      <c r="C354" s="1">
        <v>42930</v>
      </c>
      <c r="D354" t="s">
        <v>29</v>
      </c>
      <c r="E354" s="7">
        <v>371</v>
      </c>
      <c r="F354" s="7">
        <f>IFERROR(VLOOKUP(E354,Margins!$A:$B,2,TRUE),"")</f>
        <v>0.25</v>
      </c>
      <c r="G354" s="7">
        <f t="shared" si="10"/>
        <v>27825</v>
      </c>
      <c r="H354" t="s">
        <v>66</v>
      </c>
      <c r="I354">
        <v>300</v>
      </c>
      <c r="J354">
        <f>IF(Table1[[#This Row],[Tickets Sold]]&gt;500,8,5)</f>
        <v>5</v>
      </c>
      <c r="K354">
        <v>183</v>
      </c>
      <c r="L354" t="str">
        <f>VLOOKUP(H354,Descriptions!A:B, 2, FALSE)</f>
        <v>Ticket + Air travel + Hotel Package</v>
      </c>
      <c r="M354">
        <f t="shared" ca="1" si="11"/>
        <v>-2276</v>
      </c>
      <c r="O354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17-TA2Sou-Ber14/7</v>
      </c>
    </row>
    <row r="355" spans="1:15" x14ac:dyDescent="0.35">
      <c r="A355" t="s">
        <v>13</v>
      </c>
      <c r="B355" t="s">
        <v>54</v>
      </c>
      <c r="C355" s="1">
        <v>42941</v>
      </c>
      <c r="D355" t="s">
        <v>29</v>
      </c>
      <c r="E355" s="7">
        <v>47</v>
      </c>
      <c r="F355" s="7">
        <f>IFERROR(VLOOKUP(E355,Margins!$A:$B,2,TRUE),"")</f>
        <v>7.0000000000000007E-2</v>
      </c>
      <c r="G355" s="7">
        <f t="shared" si="10"/>
        <v>164500.00000000003</v>
      </c>
      <c r="H355" t="s">
        <v>68</v>
      </c>
      <c r="I355">
        <v>50000</v>
      </c>
      <c r="J355">
        <f>IF(Table1[[#This Row],[Tickets Sold]]&gt;500,8,5)</f>
        <v>8</v>
      </c>
      <c r="K355">
        <v>43000</v>
      </c>
      <c r="L355" t="str">
        <f>VLOOKUP(H355,Descriptions!A:B, 2, FALSE)</f>
        <v>General Admission (1 day)</v>
      </c>
      <c r="M355">
        <f t="shared" ca="1" si="11"/>
        <v>-2269</v>
      </c>
      <c r="O355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17-GA1Sou-Ber25/7</v>
      </c>
    </row>
    <row r="356" spans="1:15" x14ac:dyDescent="0.35">
      <c r="A356" t="s">
        <v>13</v>
      </c>
      <c r="B356" t="s">
        <v>54</v>
      </c>
      <c r="C356" s="1">
        <v>42941</v>
      </c>
      <c r="D356" t="s">
        <v>29</v>
      </c>
      <c r="E356" s="7">
        <v>34</v>
      </c>
      <c r="F356" s="7">
        <f>IFERROR(VLOOKUP(E356,Margins!$A:$B,2,TRUE),"")</f>
        <v>7.0000000000000007E-2</v>
      </c>
      <c r="G356" s="7">
        <f t="shared" si="10"/>
        <v>10710.000000000002</v>
      </c>
      <c r="H356" t="s">
        <v>62</v>
      </c>
      <c r="I356">
        <v>4500</v>
      </c>
      <c r="J356">
        <f>IF(Table1[[#This Row],[Tickets Sold]]&gt;500,8,5)</f>
        <v>8</v>
      </c>
      <c r="K356">
        <v>3105</v>
      </c>
      <c r="L356" t="str">
        <f>VLOOKUP(H356,Descriptions!A:B, 2, FALSE)</f>
        <v>Seating Cat. 1</v>
      </c>
      <c r="M356">
        <f t="shared" ca="1" si="11"/>
        <v>-2269</v>
      </c>
      <c r="O356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17-SC1Sou-Ber25/7</v>
      </c>
    </row>
    <row r="357" spans="1:15" x14ac:dyDescent="0.35">
      <c r="A357" t="s">
        <v>13</v>
      </c>
      <c r="B357" t="s">
        <v>54</v>
      </c>
      <c r="C357" s="1">
        <v>42941</v>
      </c>
      <c r="D357" t="s">
        <v>29</v>
      </c>
      <c r="E357" s="7">
        <v>97</v>
      </c>
      <c r="F357" s="7">
        <f>IFERROR(VLOOKUP(E357,Margins!$A:$B,2,TRUE),"")</f>
        <v>0.1</v>
      </c>
      <c r="G357" s="7">
        <f t="shared" si="10"/>
        <v>3880.0000000000005</v>
      </c>
      <c r="H357" t="s">
        <v>63</v>
      </c>
      <c r="I357">
        <v>400</v>
      </c>
      <c r="J357">
        <f>IF(Table1[[#This Row],[Tickets Sold]]&gt;500,8,5)</f>
        <v>5</v>
      </c>
      <c r="K357">
        <v>236</v>
      </c>
      <c r="L357" t="str">
        <f>VLOOKUP(H357,Descriptions!A:B, 2, FALSE)</f>
        <v>Seating Cat. 2</v>
      </c>
      <c r="M357">
        <f t="shared" ca="1" si="11"/>
        <v>-2269</v>
      </c>
      <c r="O357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17-SC2Sou-Ber25/7</v>
      </c>
    </row>
    <row r="358" spans="1:15" x14ac:dyDescent="0.35">
      <c r="A358" t="s">
        <v>13</v>
      </c>
      <c r="B358" t="s">
        <v>54</v>
      </c>
      <c r="C358" s="1">
        <v>42941</v>
      </c>
      <c r="D358" t="s">
        <v>29</v>
      </c>
      <c r="E358" s="7">
        <v>210</v>
      </c>
      <c r="F358" s="7">
        <f>IFERROR(VLOOKUP(E358,Margins!$A:$B,2,TRUE),"")</f>
        <v>0.25</v>
      </c>
      <c r="G358" s="7">
        <f t="shared" si="10"/>
        <v>15750</v>
      </c>
      <c r="H358" t="s">
        <v>65</v>
      </c>
      <c r="I358">
        <v>300</v>
      </c>
      <c r="J358">
        <f>IF(Table1[[#This Row],[Tickets Sold]]&gt;500,8,5)</f>
        <v>5</v>
      </c>
      <c r="K358">
        <v>237</v>
      </c>
      <c r="L358" t="str">
        <f>VLOOKUP(H358,Descriptions!A:B, 2, FALSE)</f>
        <v>Ticket + Air travel Package</v>
      </c>
      <c r="M358">
        <f t="shared" ca="1" si="11"/>
        <v>-2269</v>
      </c>
      <c r="O358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17-TA1Sou-Ber25/7</v>
      </c>
    </row>
    <row r="359" spans="1:15" x14ac:dyDescent="0.35">
      <c r="A359" t="s">
        <v>13</v>
      </c>
      <c r="B359" t="s">
        <v>54</v>
      </c>
      <c r="C359" s="1">
        <v>42941</v>
      </c>
      <c r="D359" t="s">
        <v>29</v>
      </c>
      <c r="E359" s="7">
        <v>31</v>
      </c>
      <c r="F359" s="7">
        <f>IFERROR(VLOOKUP(E359,Margins!$A:$B,2,TRUE),"")</f>
        <v>7.0000000000000007E-2</v>
      </c>
      <c r="G359" s="7">
        <f t="shared" si="10"/>
        <v>149.73000000000002</v>
      </c>
      <c r="H359" t="s">
        <v>67</v>
      </c>
      <c r="I359">
        <v>69</v>
      </c>
      <c r="J359">
        <f>IF(Table1[[#This Row],[Tickets Sold]]&gt;500,8,5)</f>
        <v>5</v>
      </c>
      <c r="K359">
        <v>38</v>
      </c>
      <c r="L359" t="str">
        <f>VLOOKUP(H359,Descriptions!A:B, 2, FALSE)</f>
        <v>Seating-disabled</v>
      </c>
      <c r="M359">
        <f t="shared" ca="1" si="11"/>
        <v>-2269</v>
      </c>
      <c r="O359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17-SCDSou-Ber25/7</v>
      </c>
    </row>
    <row r="360" spans="1:15" x14ac:dyDescent="0.35">
      <c r="A360" t="s">
        <v>13</v>
      </c>
      <c r="B360" t="s">
        <v>54</v>
      </c>
      <c r="C360" s="1">
        <v>42941</v>
      </c>
      <c r="D360" t="s">
        <v>29</v>
      </c>
      <c r="E360" s="7">
        <v>120</v>
      </c>
      <c r="F360" s="7">
        <f>IFERROR(VLOOKUP(E360,Margins!$A:$B,2,TRUE),"")</f>
        <v>0.15</v>
      </c>
      <c r="G360" s="7">
        <f t="shared" si="10"/>
        <v>900000</v>
      </c>
      <c r="H360" t="s">
        <v>69</v>
      </c>
      <c r="I360">
        <v>50000</v>
      </c>
      <c r="J360">
        <f>IF(Table1[[#This Row],[Tickets Sold]]&gt;500,8,5)</f>
        <v>8</v>
      </c>
      <c r="K360">
        <v>43500</v>
      </c>
      <c r="L360" t="str">
        <f>VLOOKUP(H360,Descriptions!A:B, 2, FALSE)</f>
        <v>General Admission (2 days)</v>
      </c>
      <c r="M360">
        <f t="shared" ca="1" si="11"/>
        <v>-2269</v>
      </c>
      <c r="O360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17-GA2Sou-Ber25/7</v>
      </c>
    </row>
    <row r="361" spans="1:15" x14ac:dyDescent="0.35">
      <c r="A361" t="s">
        <v>13</v>
      </c>
      <c r="B361" t="s">
        <v>54</v>
      </c>
      <c r="C361" s="1">
        <v>42941</v>
      </c>
      <c r="D361" t="s">
        <v>29</v>
      </c>
      <c r="E361" s="7">
        <v>364</v>
      </c>
      <c r="F361" s="7">
        <f>IFERROR(VLOOKUP(E361,Margins!$A:$B,2,TRUE),"")</f>
        <v>0.25</v>
      </c>
      <c r="G361" s="7">
        <f t="shared" si="10"/>
        <v>18200</v>
      </c>
      <c r="H361" t="s">
        <v>66</v>
      </c>
      <c r="I361">
        <v>200</v>
      </c>
      <c r="J361">
        <f>IF(Table1[[#This Row],[Tickets Sold]]&gt;500,8,5)</f>
        <v>5</v>
      </c>
      <c r="K361">
        <v>108</v>
      </c>
      <c r="L361" t="str">
        <f>VLOOKUP(H361,Descriptions!A:B, 2, FALSE)</f>
        <v>Ticket + Air travel + Hotel Package</v>
      </c>
      <c r="M361">
        <f t="shared" ca="1" si="11"/>
        <v>-2269</v>
      </c>
      <c r="O361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17-TA2Sou-Ber25/7</v>
      </c>
    </row>
    <row r="362" spans="1:15" x14ac:dyDescent="0.35">
      <c r="A362" t="s">
        <v>13</v>
      </c>
      <c r="B362" t="s">
        <v>54</v>
      </c>
      <c r="C362" s="1">
        <v>42965</v>
      </c>
      <c r="D362" t="s">
        <v>29</v>
      </c>
      <c r="E362" s="7">
        <v>47</v>
      </c>
      <c r="F362" s="7">
        <f>IFERROR(VLOOKUP(E362,Margins!$A:$B,2,TRUE),"")</f>
        <v>7.0000000000000007E-2</v>
      </c>
      <c r="G362" s="7">
        <f t="shared" si="10"/>
        <v>164500.00000000003</v>
      </c>
      <c r="H362" t="s">
        <v>68</v>
      </c>
      <c r="I362">
        <v>50000</v>
      </c>
      <c r="J362">
        <f>IF(Table1[[#This Row],[Tickets Sold]]&gt;500,8,5)</f>
        <v>8</v>
      </c>
      <c r="K362">
        <v>37000</v>
      </c>
      <c r="L362" t="str">
        <f>VLOOKUP(H362,Descriptions!A:B, 2, FALSE)</f>
        <v>General Admission (1 day)</v>
      </c>
      <c r="M362">
        <f t="shared" ca="1" si="11"/>
        <v>-2251</v>
      </c>
      <c r="O362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17-GA1Sou-Ber18/8</v>
      </c>
    </row>
    <row r="363" spans="1:15" x14ac:dyDescent="0.35">
      <c r="A363" t="s">
        <v>13</v>
      </c>
      <c r="B363" t="s">
        <v>54</v>
      </c>
      <c r="C363" s="1">
        <v>42965</v>
      </c>
      <c r="D363" t="s">
        <v>29</v>
      </c>
      <c r="E363" s="7">
        <v>47</v>
      </c>
      <c r="F363" s="7">
        <f>IFERROR(VLOOKUP(E363,Margins!$A:$B,2,TRUE),"")</f>
        <v>7.0000000000000007E-2</v>
      </c>
      <c r="G363" s="7">
        <f t="shared" si="10"/>
        <v>14805.000000000002</v>
      </c>
      <c r="H363" t="s">
        <v>62</v>
      </c>
      <c r="I363">
        <v>4500</v>
      </c>
      <c r="J363">
        <f>IF(Table1[[#This Row],[Tickets Sold]]&gt;500,8,5)</f>
        <v>8</v>
      </c>
      <c r="K363">
        <v>3420</v>
      </c>
      <c r="L363" t="str">
        <f>VLOOKUP(H363,Descriptions!A:B, 2, FALSE)</f>
        <v>Seating Cat. 1</v>
      </c>
      <c r="M363">
        <f t="shared" ca="1" si="11"/>
        <v>-2251</v>
      </c>
      <c r="O363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17-SC1Sou-Ber18/8</v>
      </c>
    </row>
    <row r="364" spans="1:15" x14ac:dyDescent="0.35">
      <c r="A364" t="s">
        <v>13</v>
      </c>
      <c r="B364" t="s">
        <v>54</v>
      </c>
      <c r="C364" s="1">
        <v>42965</v>
      </c>
      <c r="D364" t="s">
        <v>29</v>
      </c>
      <c r="E364" s="7">
        <v>85</v>
      </c>
      <c r="F364" s="7">
        <f>IFERROR(VLOOKUP(E364,Margins!$A:$B,2,TRUE),"")</f>
        <v>0.1</v>
      </c>
      <c r="G364" s="7">
        <f t="shared" si="10"/>
        <v>3400</v>
      </c>
      <c r="H364" t="s">
        <v>63</v>
      </c>
      <c r="I364">
        <v>400</v>
      </c>
      <c r="J364">
        <f>IF(Table1[[#This Row],[Tickets Sold]]&gt;500,8,5)</f>
        <v>5</v>
      </c>
      <c r="K364">
        <v>244</v>
      </c>
      <c r="L364" t="str">
        <f>VLOOKUP(H364,Descriptions!A:B, 2, FALSE)</f>
        <v>Seating Cat. 2</v>
      </c>
      <c r="M364">
        <f t="shared" ca="1" si="11"/>
        <v>-2251</v>
      </c>
      <c r="O364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17-SC2Sou-Ber18/8</v>
      </c>
    </row>
    <row r="365" spans="1:15" x14ac:dyDescent="0.35">
      <c r="A365" t="s">
        <v>13</v>
      </c>
      <c r="B365" t="s">
        <v>54</v>
      </c>
      <c r="C365" s="1">
        <v>42965</v>
      </c>
      <c r="D365" t="s">
        <v>29</v>
      </c>
      <c r="E365" s="7">
        <v>266</v>
      </c>
      <c r="F365" s="7">
        <f>IFERROR(VLOOKUP(E365,Margins!$A:$B,2,TRUE),"")</f>
        <v>0.25</v>
      </c>
      <c r="G365" s="7">
        <f t="shared" si="10"/>
        <v>19950</v>
      </c>
      <c r="H365" t="s">
        <v>65</v>
      </c>
      <c r="I365">
        <v>300</v>
      </c>
      <c r="J365">
        <f>IF(Table1[[#This Row],[Tickets Sold]]&gt;500,8,5)</f>
        <v>5</v>
      </c>
      <c r="K365">
        <v>273</v>
      </c>
      <c r="L365" t="str">
        <f>VLOOKUP(H365,Descriptions!A:B, 2, FALSE)</f>
        <v>Ticket + Air travel Package</v>
      </c>
      <c r="M365">
        <f t="shared" ca="1" si="11"/>
        <v>-2251</v>
      </c>
      <c r="O365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17-TA1Sou-Ber18/8</v>
      </c>
    </row>
    <row r="366" spans="1:15" x14ac:dyDescent="0.35">
      <c r="A366" t="s">
        <v>13</v>
      </c>
      <c r="B366" t="s">
        <v>54</v>
      </c>
      <c r="C366" s="1">
        <v>42965</v>
      </c>
      <c r="D366" t="s">
        <v>29</v>
      </c>
      <c r="E366" s="7">
        <v>34</v>
      </c>
      <c r="F366" s="7">
        <f>IFERROR(VLOOKUP(E366,Margins!$A:$B,2,TRUE),"")</f>
        <v>7.0000000000000007E-2</v>
      </c>
      <c r="G366" s="7">
        <f t="shared" si="10"/>
        <v>214.20000000000002</v>
      </c>
      <c r="H366" t="s">
        <v>67</v>
      </c>
      <c r="I366">
        <v>90</v>
      </c>
      <c r="J366">
        <f>IF(Table1[[#This Row],[Tickets Sold]]&gt;500,8,5)</f>
        <v>5</v>
      </c>
      <c r="K366">
        <v>61</v>
      </c>
      <c r="L366" t="str">
        <f>VLOOKUP(H366,Descriptions!A:B, 2, FALSE)</f>
        <v>Seating-disabled</v>
      </c>
      <c r="M366">
        <f t="shared" ca="1" si="11"/>
        <v>-2251</v>
      </c>
      <c r="O366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17-SCDSou-Ber18/8</v>
      </c>
    </row>
    <row r="367" spans="1:15" x14ac:dyDescent="0.35">
      <c r="A367" t="s">
        <v>13</v>
      </c>
      <c r="B367" t="s">
        <v>54</v>
      </c>
      <c r="C367" s="1">
        <v>42965</v>
      </c>
      <c r="D367" t="s">
        <v>29</v>
      </c>
      <c r="E367" s="7">
        <v>339</v>
      </c>
      <c r="F367" s="7">
        <f>IFERROR(VLOOKUP(E367,Margins!$A:$B,2,TRUE),"")</f>
        <v>0.25</v>
      </c>
      <c r="G367" s="7">
        <f t="shared" si="10"/>
        <v>25425</v>
      </c>
      <c r="H367" t="s">
        <v>66</v>
      </c>
      <c r="I367">
        <v>300</v>
      </c>
      <c r="J367">
        <f>IF(Table1[[#This Row],[Tickets Sold]]&gt;500,8,5)</f>
        <v>5</v>
      </c>
      <c r="K367">
        <v>273</v>
      </c>
      <c r="L367" t="str">
        <f>VLOOKUP(H367,Descriptions!A:B, 2, FALSE)</f>
        <v>Ticket + Air travel + Hotel Package</v>
      </c>
      <c r="M367">
        <f t="shared" ca="1" si="11"/>
        <v>-2251</v>
      </c>
      <c r="O367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17-TA2Sou-Ber18/8</v>
      </c>
    </row>
    <row r="368" spans="1:15" x14ac:dyDescent="0.35">
      <c r="A368" t="s">
        <v>28</v>
      </c>
      <c r="B368" t="s">
        <v>5</v>
      </c>
      <c r="C368" s="1">
        <v>42912</v>
      </c>
      <c r="D368" t="s">
        <v>29</v>
      </c>
      <c r="E368" s="7">
        <v>50</v>
      </c>
      <c r="F368" s="7">
        <f>IFERROR(VLOOKUP(E368,Margins!$A:$B,2,TRUE),"")</f>
        <v>0.1</v>
      </c>
      <c r="G368" s="7">
        <f t="shared" si="10"/>
        <v>300000</v>
      </c>
      <c r="H368" t="s">
        <v>68</v>
      </c>
      <c r="I368">
        <v>60000</v>
      </c>
      <c r="J368">
        <f>IF(Table1[[#This Row],[Tickets Sold]]&gt;500,8,5)</f>
        <v>8</v>
      </c>
      <c r="K368">
        <v>48000</v>
      </c>
      <c r="L368" t="str">
        <f>VLOOKUP(H368,Descriptions!A:B, 2, FALSE)</f>
        <v>General Admission (1 day)</v>
      </c>
      <c r="M368">
        <f t="shared" ca="1" si="11"/>
        <v>-2289</v>
      </c>
      <c r="O368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17-GA1Sou-Mad26/6</v>
      </c>
    </row>
    <row r="369" spans="1:15" x14ac:dyDescent="0.35">
      <c r="A369" t="s">
        <v>28</v>
      </c>
      <c r="B369" t="s">
        <v>5</v>
      </c>
      <c r="C369" s="1">
        <v>42912</v>
      </c>
      <c r="D369" t="s">
        <v>29</v>
      </c>
      <c r="E369" s="7">
        <v>38</v>
      </c>
      <c r="F369" s="7">
        <f>IFERROR(VLOOKUP(E369,Margins!$A:$B,2,TRUE),"")</f>
        <v>7.0000000000000007E-2</v>
      </c>
      <c r="G369" s="7">
        <f t="shared" si="10"/>
        <v>7714</v>
      </c>
      <c r="H369" t="s">
        <v>62</v>
      </c>
      <c r="I369">
        <v>2900</v>
      </c>
      <c r="J369">
        <f>IF(Table1[[#This Row],[Tickets Sold]]&gt;500,8,5)</f>
        <v>8</v>
      </c>
      <c r="K369">
        <v>2610</v>
      </c>
      <c r="L369" t="str">
        <f>VLOOKUP(H369,Descriptions!A:B, 2, FALSE)</f>
        <v>Seating Cat. 1</v>
      </c>
      <c r="M369">
        <f t="shared" ca="1" si="11"/>
        <v>-2289</v>
      </c>
      <c r="O369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17-SC1Sou-Mad26/6</v>
      </c>
    </row>
    <row r="370" spans="1:15" x14ac:dyDescent="0.35">
      <c r="A370" t="s">
        <v>28</v>
      </c>
      <c r="B370" t="s">
        <v>5</v>
      </c>
      <c r="C370" s="1">
        <v>42912</v>
      </c>
      <c r="D370" t="s">
        <v>29</v>
      </c>
      <c r="E370" s="7">
        <v>250</v>
      </c>
      <c r="F370" s="7">
        <f>IFERROR(VLOOKUP(E370,Margins!$A:$B,2,TRUE),"")</f>
        <v>0.25</v>
      </c>
      <c r="G370" s="7">
        <f t="shared" si="10"/>
        <v>18750</v>
      </c>
      <c r="H370" t="s">
        <v>65</v>
      </c>
      <c r="I370">
        <v>300</v>
      </c>
      <c r="J370">
        <f>IF(Table1[[#This Row],[Tickets Sold]]&gt;500,8,5)</f>
        <v>5</v>
      </c>
      <c r="K370">
        <v>162</v>
      </c>
      <c r="L370" t="str">
        <f>VLOOKUP(H370,Descriptions!A:B, 2, FALSE)</f>
        <v>Ticket + Air travel Package</v>
      </c>
      <c r="M370">
        <f t="shared" ca="1" si="11"/>
        <v>-2289</v>
      </c>
      <c r="O370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17-TA1Sou-Mad26/6</v>
      </c>
    </row>
    <row r="371" spans="1:15" x14ac:dyDescent="0.35">
      <c r="A371" t="s">
        <v>28</v>
      </c>
      <c r="B371" t="s">
        <v>5</v>
      </c>
      <c r="C371" s="1">
        <v>42912</v>
      </c>
      <c r="D371" t="s">
        <v>29</v>
      </c>
      <c r="E371" s="7">
        <v>313</v>
      </c>
      <c r="F371" s="7">
        <f>IFERROR(VLOOKUP(E371,Margins!$A:$B,2,TRUE),"")</f>
        <v>0.25</v>
      </c>
      <c r="G371" s="7">
        <f t="shared" si="10"/>
        <v>15650</v>
      </c>
      <c r="H371" t="s">
        <v>66</v>
      </c>
      <c r="I371">
        <v>200</v>
      </c>
      <c r="J371">
        <f>IF(Table1[[#This Row],[Tickets Sold]]&gt;500,8,5)</f>
        <v>5</v>
      </c>
      <c r="K371">
        <v>110</v>
      </c>
      <c r="L371" t="str">
        <f>VLOOKUP(H371,Descriptions!A:B, 2, FALSE)</f>
        <v>Ticket + Air travel + Hotel Package</v>
      </c>
      <c r="M371">
        <f t="shared" ca="1" si="11"/>
        <v>-2289</v>
      </c>
      <c r="O371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17-TA2Sou-Mad26/6</v>
      </c>
    </row>
    <row r="372" spans="1:15" x14ac:dyDescent="0.35">
      <c r="A372" t="s">
        <v>28</v>
      </c>
      <c r="B372" t="s">
        <v>5</v>
      </c>
      <c r="C372" s="1">
        <v>42916</v>
      </c>
      <c r="D372" t="s">
        <v>29</v>
      </c>
      <c r="E372" s="7">
        <v>50</v>
      </c>
      <c r="F372" s="7">
        <f>IFERROR(VLOOKUP(E372,Margins!$A:$B,2,TRUE),"")</f>
        <v>0.1</v>
      </c>
      <c r="G372" s="7">
        <f t="shared" si="10"/>
        <v>250000</v>
      </c>
      <c r="H372" t="s">
        <v>68</v>
      </c>
      <c r="I372">
        <v>50000</v>
      </c>
      <c r="J372">
        <f>IF(Table1[[#This Row],[Tickets Sold]]&gt;500,8,5)</f>
        <v>8</v>
      </c>
      <c r="K372">
        <v>32000</v>
      </c>
      <c r="L372" t="str">
        <f>VLOOKUP(H372,Descriptions!A:B, 2, FALSE)</f>
        <v>General Admission (1 day)</v>
      </c>
      <c r="M372">
        <f t="shared" ca="1" si="11"/>
        <v>-2286</v>
      </c>
      <c r="O372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17-GA1Sou-Mad30/6</v>
      </c>
    </row>
    <row r="373" spans="1:15" x14ac:dyDescent="0.35">
      <c r="A373" t="s">
        <v>28</v>
      </c>
      <c r="B373" t="s">
        <v>5</v>
      </c>
      <c r="C373" s="1">
        <v>42916</v>
      </c>
      <c r="D373" t="s">
        <v>29</v>
      </c>
      <c r="E373" s="7">
        <v>48</v>
      </c>
      <c r="F373" s="7">
        <f>IFERROR(VLOOKUP(E373,Margins!$A:$B,2,TRUE),"")</f>
        <v>7.0000000000000007E-2</v>
      </c>
      <c r="G373" s="7">
        <f t="shared" si="10"/>
        <v>9744.0000000000018</v>
      </c>
      <c r="H373" t="s">
        <v>62</v>
      </c>
      <c r="I373">
        <v>2900</v>
      </c>
      <c r="J373">
        <f>IF(Table1[[#This Row],[Tickets Sold]]&gt;500,8,5)</f>
        <v>8</v>
      </c>
      <c r="K373">
        <v>2001</v>
      </c>
      <c r="L373" t="str">
        <f>VLOOKUP(H373,Descriptions!A:B, 2, FALSE)</f>
        <v>Seating Cat. 1</v>
      </c>
      <c r="M373">
        <f t="shared" ca="1" si="11"/>
        <v>-2286</v>
      </c>
      <c r="O373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17-SC1Sou-Mad30/6</v>
      </c>
    </row>
    <row r="374" spans="1:15" x14ac:dyDescent="0.35">
      <c r="A374" t="s">
        <v>28</v>
      </c>
      <c r="B374" t="s">
        <v>5</v>
      </c>
      <c r="C374" s="1">
        <v>42916</v>
      </c>
      <c r="D374" t="s">
        <v>29</v>
      </c>
      <c r="E374" s="7">
        <v>206</v>
      </c>
      <c r="F374" s="7">
        <f>IFERROR(VLOOKUP(E374,Margins!$A:$B,2,TRUE),"")</f>
        <v>0.25</v>
      </c>
      <c r="G374" s="7">
        <f t="shared" si="10"/>
        <v>15450</v>
      </c>
      <c r="H374" t="s">
        <v>65</v>
      </c>
      <c r="I374">
        <v>300</v>
      </c>
      <c r="J374">
        <f>IF(Table1[[#This Row],[Tickets Sold]]&gt;500,8,5)</f>
        <v>5</v>
      </c>
      <c r="K374">
        <v>276</v>
      </c>
      <c r="L374" t="str">
        <f>VLOOKUP(H374,Descriptions!A:B, 2, FALSE)</f>
        <v>Ticket + Air travel Package</v>
      </c>
      <c r="M374">
        <f t="shared" ca="1" si="11"/>
        <v>-2286</v>
      </c>
      <c r="O374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17-TA1Sou-Mad30/6</v>
      </c>
    </row>
    <row r="375" spans="1:15" x14ac:dyDescent="0.35">
      <c r="A375" t="s">
        <v>28</v>
      </c>
      <c r="B375" t="s">
        <v>5</v>
      </c>
      <c r="C375" s="1">
        <v>42916</v>
      </c>
      <c r="D375" t="s">
        <v>29</v>
      </c>
      <c r="E375" s="7">
        <v>397</v>
      </c>
      <c r="F375" s="7">
        <f>IFERROR(VLOOKUP(E375,Margins!$A:$B,2,TRUE),"")</f>
        <v>0.25</v>
      </c>
      <c r="G375" s="7">
        <f t="shared" si="10"/>
        <v>29775</v>
      </c>
      <c r="H375" t="s">
        <v>66</v>
      </c>
      <c r="I375">
        <v>300</v>
      </c>
      <c r="J375">
        <f>IF(Table1[[#This Row],[Tickets Sold]]&gt;500,8,5)</f>
        <v>5</v>
      </c>
      <c r="K375">
        <v>231</v>
      </c>
      <c r="L375" t="str">
        <f>VLOOKUP(H375,Descriptions!A:B, 2, FALSE)</f>
        <v>Ticket + Air travel + Hotel Package</v>
      </c>
      <c r="M375">
        <f t="shared" ca="1" si="11"/>
        <v>-2286</v>
      </c>
      <c r="O375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17-TA2Sou-Mad30/6</v>
      </c>
    </row>
    <row r="376" spans="1:15" x14ac:dyDescent="0.35">
      <c r="A376" t="s">
        <v>28</v>
      </c>
      <c r="B376" t="s">
        <v>51</v>
      </c>
      <c r="C376" s="1">
        <v>42922</v>
      </c>
      <c r="D376" t="s">
        <v>29</v>
      </c>
      <c r="E376" s="7">
        <v>50</v>
      </c>
      <c r="F376" s="7">
        <f>IFERROR(VLOOKUP(E376,Margins!$A:$B,2,TRUE),"")</f>
        <v>0.1</v>
      </c>
      <c r="G376" s="7">
        <f t="shared" si="10"/>
        <v>300000</v>
      </c>
      <c r="H376" t="s">
        <v>68</v>
      </c>
      <c r="I376">
        <v>60000</v>
      </c>
      <c r="J376">
        <f>IF(Table1[[#This Row],[Tickets Sold]]&gt;500,8,5)</f>
        <v>8</v>
      </c>
      <c r="K376">
        <v>50400</v>
      </c>
      <c r="L376" t="str">
        <f>VLOOKUP(H376,Descriptions!A:B, 2, FALSE)</f>
        <v>General Admission (1 day)</v>
      </c>
      <c r="M376">
        <f t="shared" ca="1" si="11"/>
        <v>-2282</v>
      </c>
      <c r="O376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17-GA1Sou-Bar6/7</v>
      </c>
    </row>
    <row r="377" spans="1:15" x14ac:dyDescent="0.35">
      <c r="A377" t="s">
        <v>28</v>
      </c>
      <c r="B377" t="s">
        <v>51</v>
      </c>
      <c r="C377" s="1">
        <v>42922</v>
      </c>
      <c r="D377" t="s">
        <v>29</v>
      </c>
      <c r="E377" s="7">
        <v>66</v>
      </c>
      <c r="F377" s="7">
        <f>IFERROR(VLOOKUP(E377,Margins!$A:$B,2,TRUE),"")</f>
        <v>0.1</v>
      </c>
      <c r="G377" s="7">
        <f t="shared" si="10"/>
        <v>22572.000000000004</v>
      </c>
      <c r="H377" t="s">
        <v>62</v>
      </c>
      <c r="I377">
        <v>3420</v>
      </c>
      <c r="J377">
        <f>IF(Table1[[#This Row],[Tickets Sold]]&gt;500,8,5)</f>
        <v>8</v>
      </c>
      <c r="K377">
        <v>2634</v>
      </c>
      <c r="L377" t="str">
        <f>VLOOKUP(H377,Descriptions!A:B, 2, FALSE)</f>
        <v>Seating Cat. 1</v>
      </c>
      <c r="M377">
        <f t="shared" ca="1" si="11"/>
        <v>-2282</v>
      </c>
      <c r="O377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17-SC1Sou-Bar6/7</v>
      </c>
    </row>
    <row r="378" spans="1:15" x14ac:dyDescent="0.35">
      <c r="A378" t="s">
        <v>28</v>
      </c>
      <c r="B378" t="s">
        <v>51</v>
      </c>
      <c r="C378" s="1">
        <v>42922</v>
      </c>
      <c r="D378" t="s">
        <v>29</v>
      </c>
      <c r="E378" s="7">
        <v>257</v>
      </c>
      <c r="F378" s="7">
        <f>IFERROR(VLOOKUP(E378,Margins!$A:$B,2,TRUE),"")</f>
        <v>0.25</v>
      </c>
      <c r="G378" s="7">
        <f t="shared" si="10"/>
        <v>19275</v>
      </c>
      <c r="H378" t="s">
        <v>65</v>
      </c>
      <c r="I378">
        <v>300</v>
      </c>
      <c r="J378">
        <f>IF(Table1[[#This Row],[Tickets Sold]]&gt;500,8,5)</f>
        <v>5</v>
      </c>
      <c r="K378">
        <v>219</v>
      </c>
      <c r="L378" t="str">
        <f>VLOOKUP(H378,Descriptions!A:B, 2, FALSE)</f>
        <v>Ticket + Air travel Package</v>
      </c>
      <c r="M378">
        <f t="shared" ca="1" si="11"/>
        <v>-2282</v>
      </c>
      <c r="O378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17-TA1Sou-Bar6/7</v>
      </c>
    </row>
    <row r="379" spans="1:15" x14ac:dyDescent="0.35">
      <c r="A379" t="s">
        <v>28</v>
      </c>
      <c r="B379" t="s">
        <v>51</v>
      </c>
      <c r="C379" s="1">
        <v>42922</v>
      </c>
      <c r="D379" t="s">
        <v>29</v>
      </c>
      <c r="E379" s="7">
        <v>316</v>
      </c>
      <c r="F379" s="7">
        <f>IFERROR(VLOOKUP(E379,Margins!$A:$B,2,TRUE),"")</f>
        <v>0.25</v>
      </c>
      <c r="G379" s="7">
        <f t="shared" si="10"/>
        <v>23700</v>
      </c>
      <c r="H379" t="s">
        <v>66</v>
      </c>
      <c r="I379">
        <v>300</v>
      </c>
      <c r="J379">
        <f>IF(Table1[[#This Row],[Tickets Sold]]&gt;500,8,5)</f>
        <v>5</v>
      </c>
      <c r="K379">
        <v>189</v>
      </c>
      <c r="L379" t="str">
        <f>VLOOKUP(H379,Descriptions!A:B, 2, FALSE)</f>
        <v>Ticket + Air travel + Hotel Package</v>
      </c>
      <c r="M379">
        <f t="shared" ca="1" si="11"/>
        <v>-2282</v>
      </c>
      <c r="O379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17-TA2Sou-Bar6/7</v>
      </c>
    </row>
    <row r="380" spans="1:15" x14ac:dyDescent="0.35">
      <c r="A380" t="s">
        <v>28</v>
      </c>
      <c r="B380" t="s">
        <v>49</v>
      </c>
      <c r="C380" s="1">
        <v>42947</v>
      </c>
      <c r="D380" t="s">
        <v>29</v>
      </c>
      <c r="E380" s="7">
        <v>50</v>
      </c>
      <c r="F380" s="7">
        <f>IFERROR(VLOOKUP(E380,Margins!$A:$B,2,TRUE),"")</f>
        <v>0.1</v>
      </c>
      <c r="G380" s="7">
        <f t="shared" si="10"/>
        <v>250000</v>
      </c>
      <c r="H380" t="s">
        <v>68</v>
      </c>
      <c r="I380">
        <v>50000</v>
      </c>
      <c r="J380">
        <f>IF(Table1[[#This Row],[Tickets Sold]]&gt;500,8,5)</f>
        <v>8</v>
      </c>
      <c r="K380">
        <v>31000</v>
      </c>
      <c r="L380" t="str">
        <f>VLOOKUP(H380,Descriptions!A:B, 2, FALSE)</f>
        <v>General Admission (1 day)</v>
      </c>
      <c r="M380">
        <f t="shared" ca="1" si="11"/>
        <v>-2264</v>
      </c>
      <c r="O380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17-GA1Sou-Nic31/7</v>
      </c>
    </row>
    <row r="381" spans="1:15" x14ac:dyDescent="0.35">
      <c r="A381" t="s">
        <v>28</v>
      </c>
      <c r="B381" t="s">
        <v>49</v>
      </c>
      <c r="C381" s="1">
        <v>42947</v>
      </c>
      <c r="D381" t="s">
        <v>29</v>
      </c>
      <c r="E381" s="7">
        <v>58</v>
      </c>
      <c r="F381" s="7">
        <f>IFERROR(VLOOKUP(E381,Margins!$A:$B,2,TRUE),"")</f>
        <v>0.1</v>
      </c>
      <c r="G381" s="7">
        <f t="shared" si="10"/>
        <v>17980.000000000004</v>
      </c>
      <c r="H381" t="s">
        <v>62</v>
      </c>
      <c r="I381">
        <v>3100</v>
      </c>
      <c r="J381">
        <f>IF(Table1[[#This Row],[Tickets Sold]]&gt;500,8,5)</f>
        <v>8</v>
      </c>
      <c r="K381">
        <v>1581</v>
      </c>
      <c r="L381" t="str">
        <f>VLOOKUP(H381,Descriptions!A:B, 2, FALSE)</f>
        <v>Seating Cat. 1</v>
      </c>
      <c r="M381">
        <f t="shared" ca="1" si="11"/>
        <v>-2264</v>
      </c>
      <c r="O381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17-SC1Sou-Nic31/7</v>
      </c>
    </row>
    <row r="382" spans="1:15" x14ac:dyDescent="0.35">
      <c r="A382" t="s">
        <v>28</v>
      </c>
      <c r="B382" t="s">
        <v>49</v>
      </c>
      <c r="C382" s="1">
        <v>42947</v>
      </c>
      <c r="D382" t="s">
        <v>29</v>
      </c>
      <c r="E382" s="7">
        <v>275</v>
      </c>
      <c r="F382" s="7">
        <f>IFERROR(VLOOKUP(E382,Margins!$A:$B,2,TRUE),"")</f>
        <v>0.25</v>
      </c>
      <c r="G382" s="7">
        <f t="shared" si="10"/>
        <v>20625</v>
      </c>
      <c r="H382" t="s">
        <v>65</v>
      </c>
      <c r="I382">
        <v>300</v>
      </c>
      <c r="J382">
        <f>IF(Table1[[#This Row],[Tickets Sold]]&gt;500,8,5)</f>
        <v>5</v>
      </c>
      <c r="K382">
        <v>279</v>
      </c>
      <c r="L382" t="str">
        <f>VLOOKUP(H382,Descriptions!A:B, 2, FALSE)</f>
        <v>Ticket + Air travel Package</v>
      </c>
      <c r="M382">
        <f t="shared" ca="1" si="11"/>
        <v>-2264</v>
      </c>
      <c r="O382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17-TA1Sou-Nic31/7</v>
      </c>
    </row>
    <row r="383" spans="1:15" x14ac:dyDescent="0.35">
      <c r="A383" t="s">
        <v>28</v>
      </c>
      <c r="B383" t="s">
        <v>49</v>
      </c>
      <c r="C383" s="1">
        <v>42947</v>
      </c>
      <c r="D383" t="s">
        <v>29</v>
      </c>
      <c r="E383" s="7">
        <v>366</v>
      </c>
      <c r="F383" s="7">
        <f>IFERROR(VLOOKUP(E383,Margins!$A:$B,2,TRUE),"")</f>
        <v>0.25</v>
      </c>
      <c r="G383" s="7">
        <f t="shared" si="10"/>
        <v>18300</v>
      </c>
      <c r="H383" t="s">
        <v>66</v>
      </c>
      <c r="I383">
        <v>200</v>
      </c>
      <c r="J383">
        <f>IF(Table1[[#This Row],[Tickets Sold]]&gt;500,8,5)</f>
        <v>5</v>
      </c>
      <c r="K383">
        <v>156</v>
      </c>
      <c r="L383" t="str">
        <f>VLOOKUP(H383,Descriptions!A:B, 2, FALSE)</f>
        <v>Ticket + Air travel + Hotel Package</v>
      </c>
      <c r="M383">
        <f t="shared" ca="1" si="11"/>
        <v>-2264</v>
      </c>
      <c r="O383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17-TA2Sou-Nic31/7</v>
      </c>
    </row>
    <row r="384" spans="1:15" x14ac:dyDescent="0.35">
      <c r="A384" t="s">
        <v>28</v>
      </c>
      <c r="B384" t="s">
        <v>54</v>
      </c>
      <c r="C384" s="1">
        <v>42950</v>
      </c>
      <c r="D384" t="s">
        <v>29</v>
      </c>
      <c r="E384" s="7">
        <v>50</v>
      </c>
      <c r="F384" s="7">
        <f>IFERROR(VLOOKUP(E384,Margins!$A:$B,2,TRUE),"")</f>
        <v>0.1</v>
      </c>
      <c r="G384" s="7">
        <f t="shared" si="10"/>
        <v>250000</v>
      </c>
      <c r="H384" t="s">
        <v>68</v>
      </c>
      <c r="I384">
        <v>50000</v>
      </c>
      <c r="J384">
        <f>IF(Table1[[#This Row],[Tickets Sold]]&gt;500,8,5)</f>
        <v>8</v>
      </c>
      <c r="K384">
        <v>38000</v>
      </c>
      <c r="L384" t="str">
        <f>VLOOKUP(H384,Descriptions!A:B, 2, FALSE)</f>
        <v>General Admission (1 day)</v>
      </c>
      <c r="M384">
        <f t="shared" ca="1" si="11"/>
        <v>-2262</v>
      </c>
      <c r="O384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17-GA1Sou-Ber3/8</v>
      </c>
    </row>
    <row r="385" spans="1:15" x14ac:dyDescent="0.35">
      <c r="A385" t="s">
        <v>28</v>
      </c>
      <c r="B385" t="s">
        <v>54</v>
      </c>
      <c r="C385" s="1">
        <v>42950</v>
      </c>
      <c r="D385" t="s">
        <v>29</v>
      </c>
      <c r="E385" s="7">
        <v>60</v>
      </c>
      <c r="F385" s="7">
        <f>IFERROR(VLOOKUP(E385,Margins!$A:$B,2,TRUE),"")</f>
        <v>0.1</v>
      </c>
      <c r="G385" s="7">
        <f t="shared" si="10"/>
        <v>14880</v>
      </c>
      <c r="H385" t="s">
        <v>62</v>
      </c>
      <c r="I385">
        <v>2480</v>
      </c>
      <c r="J385">
        <f>IF(Table1[[#This Row],[Tickets Sold]]&gt;500,8,5)</f>
        <v>8</v>
      </c>
      <c r="K385">
        <v>2158</v>
      </c>
      <c r="L385" t="str">
        <f>VLOOKUP(H385,Descriptions!A:B, 2, FALSE)</f>
        <v>Seating Cat. 1</v>
      </c>
      <c r="M385">
        <f t="shared" ca="1" si="11"/>
        <v>-2262</v>
      </c>
      <c r="O385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17-SC1Sou-Ber3/8</v>
      </c>
    </row>
    <row r="386" spans="1:15" x14ac:dyDescent="0.35">
      <c r="A386" t="s">
        <v>28</v>
      </c>
      <c r="B386" t="s">
        <v>54</v>
      </c>
      <c r="C386" s="1">
        <v>42950</v>
      </c>
      <c r="D386" t="s">
        <v>29</v>
      </c>
      <c r="E386" s="7">
        <v>220</v>
      </c>
      <c r="F386" s="7">
        <f>IFERROR(VLOOKUP(E386,Margins!$A:$B,2,TRUE),"")</f>
        <v>0.25</v>
      </c>
      <c r="G386" s="7">
        <f t="shared" ref="G386:G449" si="12">IFERROR(E386*F386*I386,"")</f>
        <v>16500</v>
      </c>
      <c r="H386" t="s">
        <v>65</v>
      </c>
      <c r="I386">
        <v>300</v>
      </c>
      <c r="J386">
        <f>IF(Table1[[#This Row],[Tickets Sold]]&gt;500,8,5)</f>
        <v>5</v>
      </c>
      <c r="K386">
        <v>249</v>
      </c>
      <c r="L386" t="str">
        <f>VLOOKUP(H386,Descriptions!A:B, 2, FALSE)</f>
        <v>Ticket + Air travel Package</v>
      </c>
      <c r="M386">
        <f t="shared" ref="M386:M449" ca="1" si="13">NETWORKDAYS(TODAY(), C386-1)</f>
        <v>-2262</v>
      </c>
      <c r="O386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17-TA1Sou-Ber3/8</v>
      </c>
    </row>
    <row r="387" spans="1:15" x14ac:dyDescent="0.35">
      <c r="A387" t="s">
        <v>28</v>
      </c>
      <c r="B387" t="s">
        <v>54</v>
      </c>
      <c r="C387" s="1">
        <v>42950</v>
      </c>
      <c r="D387" t="s">
        <v>29</v>
      </c>
      <c r="E387" s="7">
        <v>376</v>
      </c>
      <c r="F387" s="7">
        <f>IFERROR(VLOOKUP(E387,Margins!$A:$B,2,TRUE),"")</f>
        <v>0.25</v>
      </c>
      <c r="G387" s="7">
        <f t="shared" si="12"/>
        <v>28200</v>
      </c>
      <c r="H387" t="s">
        <v>66</v>
      </c>
      <c r="I387">
        <v>300</v>
      </c>
      <c r="J387">
        <f>IF(Table1[[#This Row],[Tickets Sold]]&gt;500,8,5)</f>
        <v>5</v>
      </c>
      <c r="K387">
        <v>192</v>
      </c>
      <c r="L387" t="str">
        <f>VLOOKUP(H387,Descriptions!A:B, 2, FALSE)</f>
        <v>Ticket + Air travel + Hotel Package</v>
      </c>
      <c r="M387">
        <f t="shared" ca="1" si="13"/>
        <v>-2262</v>
      </c>
      <c r="O387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17-TA2Sou-Ber3/8</v>
      </c>
    </row>
    <row r="388" spans="1:15" x14ac:dyDescent="0.35">
      <c r="A388" t="s">
        <v>10</v>
      </c>
      <c r="B388" t="s">
        <v>51</v>
      </c>
      <c r="C388" s="1">
        <v>42887</v>
      </c>
      <c r="D388" t="s">
        <v>29</v>
      </c>
      <c r="E388" s="7">
        <v>52</v>
      </c>
      <c r="F388" s="7">
        <f>IFERROR(VLOOKUP(E388,Margins!$A:$B,2,TRUE),"")</f>
        <v>0.1</v>
      </c>
      <c r="G388" s="7">
        <f t="shared" si="12"/>
        <v>312000</v>
      </c>
      <c r="H388" t="s">
        <v>68</v>
      </c>
      <c r="I388">
        <v>60000</v>
      </c>
      <c r="J388">
        <f>IF(Table1[[#This Row],[Tickets Sold]]&gt;500,8,5)</f>
        <v>8</v>
      </c>
      <c r="K388">
        <v>33600</v>
      </c>
      <c r="L388" t="str">
        <f>VLOOKUP(H388,Descriptions!A:B, 2, FALSE)</f>
        <v>General Admission (1 day)</v>
      </c>
      <c r="M388">
        <f t="shared" ca="1" si="13"/>
        <v>-2307</v>
      </c>
      <c r="O388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17-GA1Sum-Bar1/6</v>
      </c>
    </row>
    <row r="389" spans="1:15" x14ac:dyDescent="0.35">
      <c r="A389" t="s">
        <v>10</v>
      </c>
      <c r="B389" t="s">
        <v>51</v>
      </c>
      <c r="C389" s="1">
        <v>42887</v>
      </c>
      <c r="D389" t="s">
        <v>29</v>
      </c>
      <c r="E389" s="7">
        <v>141</v>
      </c>
      <c r="F389" s="7">
        <f>IFERROR(VLOOKUP(E389,Margins!$A:$B,2,TRUE),"")</f>
        <v>0.15</v>
      </c>
      <c r="G389" s="7">
        <f t="shared" si="12"/>
        <v>1057500</v>
      </c>
      <c r="H389" t="s">
        <v>70</v>
      </c>
      <c r="I389">
        <v>50000</v>
      </c>
      <c r="J389">
        <f>IF(Table1[[#This Row],[Tickets Sold]]&gt;500,8,5)</f>
        <v>8</v>
      </c>
      <c r="K389">
        <v>34500</v>
      </c>
      <c r="L389" t="str">
        <f>VLOOKUP(H389,Descriptions!A:B, 2, FALSE)</f>
        <v>General Admission (season ticket)</v>
      </c>
      <c r="M389">
        <f t="shared" ca="1" si="13"/>
        <v>-2307</v>
      </c>
      <c r="O389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17-GA3Sum-Bar1/6</v>
      </c>
    </row>
    <row r="390" spans="1:15" x14ac:dyDescent="0.35">
      <c r="A390" t="s">
        <v>10</v>
      </c>
      <c r="B390" t="s">
        <v>51</v>
      </c>
      <c r="C390" s="1">
        <v>42903</v>
      </c>
      <c r="D390" t="s">
        <v>29</v>
      </c>
      <c r="E390" s="7">
        <v>52</v>
      </c>
      <c r="F390" s="7">
        <f>IFERROR(VLOOKUP(E390,Margins!$A:$B,2,TRUE),"")</f>
        <v>0.1</v>
      </c>
      <c r="G390" s="7">
        <f t="shared" si="12"/>
        <v>312000</v>
      </c>
      <c r="H390" t="s">
        <v>68</v>
      </c>
      <c r="I390">
        <v>60000</v>
      </c>
      <c r="J390">
        <f>IF(Table1[[#This Row],[Tickets Sold]]&gt;500,8,5)</f>
        <v>8</v>
      </c>
      <c r="K390">
        <v>45000</v>
      </c>
      <c r="L390" t="str">
        <f>VLOOKUP(H390,Descriptions!A:B, 2, FALSE)</f>
        <v>General Admission (1 day)</v>
      </c>
      <c r="M390">
        <f t="shared" ca="1" si="13"/>
        <v>-2295</v>
      </c>
      <c r="O390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17-GA1Sum-Bar17/6</v>
      </c>
    </row>
    <row r="391" spans="1:15" x14ac:dyDescent="0.35">
      <c r="A391" t="s">
        <v>10</v>
      </c>
      <c r="B391" t="s">
        <v>51</v>
      </c>
      <c r="C391" s="1">
        <v>42921</v>
      </c>
      <c r="D391" t="s">
        <v>29</v>
      </c>
      <c r="E391" s="7">
        <v>52</v>
      </c>
      <c r="F391" s="7">
        <f>IFERROR(VLOOKUP(E391,Margins!$A:$B,2,TRUE),"")</f>
        <v>0.1</v>
      </c>
      <c r="G391" s="7">
        <f t="shared" si="12"/>
        <v>260000</v>
      </c>
      <c r="H391" t="s">
        <v>68</v>
      </c>
      <c r="I391">
        <v>50000</v>
      </c>
      <c r="J391">
        <f>IF(Table1[[#This Row],[Tickets Sold]]&gt;500,8,5)</f>
        <v>8</v>
      </c>
      <c r="K391">
        <v>46500</v>
      </c>
      <c r="L391" t="str">
        <f>VLOOKUP(H391,Descriptions!A:B, 2, FALSE)</f>
        <v>General Admission (1 day)</v>
      </c>
      <c r="M391">
        <f t="shared" ca="1" si="13"/>
        <v>-2283</v>
      </c>
      <c r="O391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17-GA1Sum-Bar5/7</v>
      </c>
    </row>
    <row r="392" spans="1:15" x14ac:dyDescent="0.35">
      <c r="A392" t="s">
        <v>10</v>
      </c>
      <c r="B392" t="s">
        <v>51</v>
      </c>
      <c r="C392" s="1">
        <v>42938</v>
      </c>
      <c r="D392" t="s">
        <v>29</v>
      </c>
      <c r="E392" s="7">
        <v>52</v>
      </c>
      <c r="F392" s="7">
        <f>IFERROR(VLOOKUP(E392,Margins!$A:$B,2,TRUE),"")</f>
        <v>0.1</v>
      </c>
      <c r="G392" s="7">
        <f t="shared" si="12"/>
        <v>260000</v>
      </c>
      <c r="H392" t="s">
        <v>68</v>
      </c>
      <c r="I392">
        <v>50000</v>
      </c>
      <c r="J392">
        <f>IF(Table1[[#This Row],[Tickets Sold]]&gt;500,8,5)</f>
        <v>8</v>
      </c>
      <c r="K392">
        <v>37000</v>
      </c>
      <c r="L392" t="str">
        <f>VLOOKUP(H392,Descriptions!A:B, 2, FALSE)</f>
        <v>General Admission (1 day)</v>
      </c>
      <c r="M392">
        <f t="shared" ca="1" si="13"/>
        <v>-2270</v>
      </c>
      <c r="O392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17-GA1Sum-Bar22/7</v>
      </c>
    </row>
    <row r="393" spans="1:15" x14ac:dyDescent="0.35">
      <c r="A393" t="s">
        <v>10</v>
      </c>
      <c r="B393" t="s">
        <v>51</v>
      </c>
      <c r="C393" s="1">
        <v>42941</v>
      </c>
      <c r="D393" t="s">
        <v>29</v>
      </c>
      <c r="E393" s="7">
        <v>52</v>
      </c>
      <c r="F393" s="7">
        <f>IFERROR(VLOOKUP(E393,Margins!$A:$B,2,TRUE),"")</f>
        <v>0.1</v>
      </c>
      <c r="G393" s="7">
        <f t="shared" si="12"/>
        <v>260000</v>
      </c>
      <c r="H393" t="s">
        <v>68</v>
      </c>
      <c r="I393">
        <v>50000</v>
      </c>
      <c r="J393">
        <f>IF(Table1[[#This Row],[Tickets Sold]]&gt;500,8,5)</f>
        <v>8</v>
      </c>
      <c r="K393">
        <v>41000</v>
      </c>
      <c r="L393" t="str">
        <f>VLOOKUP(H393,Descriptions!A:B, 2, FALSE)</f>
        <v>General Admission (1 day)</v>
      </c>
      <c r="M393">
        <f t="shared" ca="1" si="13"/>
        <v>-2269</v>
      </c>
      <c r="O393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17-GA1Sum-Bar25/7</v>
      </c>
    </row>
    <row r="394" spans="1:15" x14ac:dyDescent="0.35">
      <c r="A394" t="s">
        <v>10</v>
      </c>
      <c r="B394" t="s">
        <v>51</v>
      </c>
      <c r="C394" s="1">
        <v>42942</v>
      </c>
      <c r="D394" t="s">
        <v>29</v>
      </c>
      <c r="E394" s="7">
        <v>52</v>
      </c>
      <c r="F394" s="7">
        <f>IFERROR(VLOOKUP(E394,Margins!$A:$B,2,TRUE),"")</f>
        <v>0.1</v>
      </c>
      <c r="G394" s="7">
        <f t="shared" si="12"/>
        <v>312000</v>
      </c>
      <c r="H394" t="s">
        <v>68</v>
      </c>
      <c r="I394">
        <v>60000</v>
      </c>
      <c r="J394">
        <f>IF(Table1[[#This Row],[Tickets Sold]]&gt;500,8,5)</f>
        <v>8</v>
      </c>
      <c r="K394">
        <v>34800</v>
      </c>
      <c r="L394" t="str">
        <f>VLOOKUP(H394,Descriptions!A:B, 2, FALSE)</f>
        <v>General Admission (1 day)</v>
      </c>
      <c r="M394">
        <f t="shared" ca="1" si="13"/>
        <v>-2268</v>
      </c>
      <c r="O394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17-GA1Sum-Bar26/7</v>
      </c>
    </row>
    <row r="395" spans="1:15" x14ac:dyDescent="0.35">
      <c r="A395" t="s">
        <v>10</v>
      </c>
      <c r="B395" t="s">
        <v>51</v>
      </c>
      <c r="C395" s="1">
        <v>42945</v>
      </c>
      <c r="D395" t="s">
        <v>29</v>
      </c>
      <c r="E395" s="7">
        <v>52</v>
      </c>
      <c r="F395" s="7">
        <f>IFERROR(VLOOKUP(E395,Margins!$A:$B,2,TRUE),"")</f>
        <v>0.1</v>
      </c>
      <c r="G395" s="7">
        <f t="shared" si="12"/>
        <v>260000</v>
      </c>
      <c r="H395" t="s">
        <v>68</v>
      </c>
      <c r="I395">
        <v>50000</v>
      </c>
      <c r="J395">
        <f>IF(Table1[[#This Row],[Tickets Sold]]&gt;500,8,5)</f>
        <v>8</v>
      </c>
      <c r="K395">
        <v>37500</v>
      </c>
      <c r="L395" t="str">
        <f>VLOOKUP(H395,Descriptions!A:B, 2, FALSE)</f>
        <v>General Admission (1 day)</v>
      </c>
      <c r="M395">
        <f t="shared" ca="1" si="13"/>
        <v>-2265</v>
      </c>
      <c r="O395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17-GA1Sum-Bar29/7</v>
      </c>
    </row>
    <row r="396" spans="1:15" x14ac:dyDescent="0.35">
      <c r="A396" t="s">
        <v>10</v>
      </c>
      <c r="B396" t="s">
        <v>51</v>
      </c>
      <c r="C396" s="1">
        <v>42954</v>
      </c>
      <c r="D396" t="s">
        <v>29</v>
      </c>
      <c r="E396" s="7">
        <v>52</v>
      </c>
      <c r="F396" s="7">
        <f>IFERROR(VLOOKUP(E396,Margins!$A:$B,2,TRUE),"")</f>
        <v>0.1</v>
      </c>
      <c r="G396" s="7">
        <f t="shared" si="12"/>
        <v>312000</v>
      </c>
      <c r="H396" t="s">
        <v>68</v>
      </c>
      <c r="I396">
        <v>60000</v>
      </c>
      <c r="J396">
        <f>IF(Table1[[#This Row],[Tickets Sold]]&gt;500,8,5)</f>
        <v>8</v>
      </c>
      <c r="K396">
        <v>51000</v>
      </c>
      <c r="L396" t="str">
        <f>VLOOKUP(H396,Descriptions!A:B, 2, FALSE)</f>
        <v>General Admission (1 day)</v>
      </c>
      <c r="M396">
        <f t="shared" ca="1" si="13"/>
        <v>-2259</v>
      </c>
      <c r="O396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17-GA1Sum-Bar7/8</v>
      </c>
    </row>
    <row r="397" spans="1:15" x14ac:dyDescent="0.35">
      <c r="A397" t="s">
        <v>10</v>
      </c>
      <c r="B397" t="s">
        <v>51</v>
      </c>
      <c r="C397" s="1">
        <v>42973</v>
      </c>
      <c r="D397" t="s">
        <v>29</v>
      </c>
      <c r="E397" s="7">
        <v>52</v>
      </c>
      <c r="F397" s="7">
        <f>IFERROR(VLOOKUP(E397,Margins!$A:$B,2,TRUE),"")</f>
        <v>0.1</v>
      </c>
      <c r="G397" s="7">
        <f t="shared" si="12"/>
        <v>260000</v>
      </c>
      <c r="H397" t="s">
        <v>68</v>
      </c>
      <c r="I397">
        <v>50000</v>
      </c>
      <c r="J397">
        <f>IF(Table1[[#This Row],[Tickets Sold]]&gt;500,8,5)</f>
        <v>8</v>
      </c>
      <c r="K397">
        <v>26500</v>
      </c>
      <c r="L397" t="str">
        <f>VLOOKUP(H397,Descriptions!A:B, 2, FALSE)</f>
        <v>General Admission (1 day)</v>
      </c>
      <c r="M397">
        <f t="shared" ca="1" si="13"/>
        <v>-2245</v>
      </c>
      <c r="O397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17-GA1Sum-Bar26/8</v>
      </c>
    </row>
    <row r="398" spans="1:15" x14ac:dyDescent="0.35">
      <c r="A398" t="s">
        <v>6</v>
      </c>
      <c r="B398" t="s">
        <v>47</v>
      </c>
      <c r="C398" s="1">
        <v>42935</v>
      </c>
      <c r="D398" t="s">
        <v>79</v>
      </c>
      <c r="E398" s="7">
        <v>52</v>
      </c>
      <c r="F398" s="7">
        <f>IFERROR(VLOOKUP(E398,Margins!$A:$B,2,TRUE),"")</f>
        <v>0.1</v>
      </c>
      <c r="G398" s="7">
        <f t="shared" si="12"/>
        <v>72098</v>
      </c>
      <c r="H398" t="s">
        <v>68</v>
      </c>
      <c r="I398">
        <v>13865</v>
      </c>
      <c r="J398">
        <f>IF(Table1[[#This Row],[Tickets Sold]]&gt;500,8,5)</f>
        <v>8</v>
      </c>
      <c r="K398">
        <v>8181</v>
      </c>
      <c r="L398" t="str">
        <f>VLOOKUP(H398,Descriptions!A:B, 2, FALSE)</f>
        <v>General Admission (1 day)</v>
      </c>
      <c r="M398">
        <f t="shared" ca="1" si="13"/>
        <v>-2273</v>
      </c>
      <c r="O398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17-GA1Tom-Sto19/7</v>
      </c>
    </row>
    <row r="399" spans="1:15" x14ac:dyDescent="0.35">
      <c r="A399" t="s">
        <v>6</v>
      </c>
      <c r="B399" t="s">
        <v>47</v>
      </c>
      <c r="C399" s="1">
        <v>42935</v>
      </c>
      <c r="D399" t="s">
        <v>79</v>
      </c>
      <c r="E399" s="7">
        <v>73</v>
      </c>
      <c r="F399" s="7">
        <f>IFERROR(VLOOKUP(E399,Margins!$A:$B,2,TRUE),"")</f>
        <v>0.1</v>
      </c>
      <c r="G399" s="7">
        <f t="shared" si="12"/>
        <v>11249.300000000001</v>
      </c>
      <c r="H399" t="s">
        <v>62</v>
      </c>
      <c r="I399">
        <v>1541</v>
      </c>
      <c r="J399">
        <f>IF(Table1[[#This Row],[Tickets Sold]]&gt;500,8,5)</f>
        <v>8</v>
      </c>
      <c r="K399">
        <v>1372</v>
      </c>
      <c r="L399" t="str">
        <f>VLOOKUP(H399,Descriptions!A:B, 2, FALSE)</f>
        <v>Seating Cat. 1</v>
      </c>
      <c r="M399">
        <f t="shared" ca="1" si="13"/>
        <v>-2273</v>
      </c>
      <c r="O399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17-SC1Tom-Sto19/7</v>
      </c>
    </row>
    <row r="400" spans="1:15" x14ac:dyDescent="0.35">
      <c r="A400" t="s">
        <v>6</v>
      </c>
      <c r="B400" t="s">
        <v>47</v>
      </c>
      <c r="C400" s="1">
        <v>42935</v>
      </c>
      <c r="D400" t="s">
        <v>79</v>
      </c>
      <c r="E400" s="7">
        <v>83</v>
      </c>
      <c r="F400" s="7">
        <f>IFERROR(VLOOKUP(E400,Margins!$A:$B,2,TRUE),"")</f>
        <v>0.1</v>
      </c>
      <c r="G400" s="7">
        <f t="shared" si="12"/>
        <v>2905.0000000000005</v>
      </c>
      <c r="H400" t="s">
        <v>63</v>
      </c>
      <c r="I400">
        <v>350</v>
      </c>
      <c r="J400">
        <f>IF(Table1[[#This Row],[Tickets Sold]]&gt;500,8,5)</f>
        <v>5</v>
      </c>
      <c r="K400">
        <v>312</v>
      </c>
      <c r="L400" t="str">
        <f>VLOOKUP(H400,Descriptions!A:B, 2, FALSE)</f>
        <v>Seating Cat. 2</v>
      </c>
      <c r="M400">
        <f t="shared" ca="1" si="13"/>
        <v>-2273</v>
      </c>
      <c r="O400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17-SC2Tom-Sto19/7</v>
      </c>
    </row>
    <row r="401" spans="1:15" x14ac:dyDescent="0.35">
      <c r="A401" t="s">
        <v>6</v>
      </c>
      <c r="B401" t="s">
        <v>47</v>
      </c>
      <c r="C401" s="1">
        <v>42935</v>
      </c>
      <c r="D401" t="s">
        <v>79</v>
      </c>
      <c r="E401" s="7">
        <v>275</v>
      </c>
      <c r="F401" s="7">
        <f>IFERROR(VLOOKUP(E401,Margins!$A:$B,2,TRUE),"")</f>
        <v>0.25</v>
      </c>
      <c r="G401" s="7">
        <f t="shared" si="12"/>
        <v>20625</v>
      </c>
      <c r="H401" t="s">
        <v>65</v>
      </c>
      <c r="I401">
        <v>300</v>
      </c>
      <c r="J401">
        <f>IF(Table1[[#This Row],[Tickets Sold]]&gt;500,8,5)</f>
        <v>5</v>
      </c>
      <c r="K401">
        <v>264</v>
      </c>
      <c r="L401" t="str">
        <f>VLOOKUP(H401,Descriptions!A:B, 2, FALSE)</f>
        <v>Ticket + Air travel Package</v>
      </c>
      <c r="M401">
        <f t="shared" ca="1" si="13"/>
        <v>-2273</v>
      </c>
      <c r="O401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17-TA1Tom-Sto19/7</v>
      </c>
    </row>
    <row r="402" spans="1:15" x14ac:dyDescent="0.35">
      <c r="A402" t="s">
        <v>6</v>
      </c>
      <c r="B402" t="s">
        <v>47</v>
      </c>
      <c r="C402" s="1">
        <v>42935</v>
      </c>
      <c r="D402" t="s">
        <v>79</v>
      </c>
      <c r="E402" s="7">
        <v>388</v>
      </c>
      <c r="F402" s="7">
        <f>IFERROR(VLOOKUP(E402,Margins!$A:$B,2,TRUE),"")</f>
        <v>0.25</v>
      </c>
      <c r="G402" s="7">
        <f t="shared" si="12"/>
        <v>19400</v>
      </c>
      <c r="H402" t="s">
        <v>66</v>
      </c>
      <c r="I402">
        <v>200</v>
      </c>
      <c r="J402">
        <f>IF(Table1[[#This Row],[Tickets Sold]]&gt;500,8,5)</f>
        <v>5</v>
      </c>
      <c r="K402">
        <v>138</v>
      </c>
      <c r="L402" t="str">
        <f>VLOOKUP(H402,Descriptions!A:B, 2, FALSE)</f>
        <v>Ticket + Air travel + Hotel Package</v>
      </c>
      <c r="M402">
        <f t="shared" ca="1" si="13"/>
        <v>-2273</v>
      </c>
      <c r="O402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17-TA2Tom-Sto19/7</v>
      </c>
    </row>
    <row r="403" spans="1:15" x14ac:dyDescent="0.35">
      <c r="A403" t="s">
        <v>6</v>
      </c>
      <c r="B403" t="s">
        <v>53</v>
      </c>
      <c r="C403" s="1">
        <v>42937</v>
      </c>
      <c r="D403" t="s">
        <v>79</v>
      </c>
      <c r="E403" s="7">
        <v>60</v>
      </c>
      <c r="F403" s="7">
        <f>IFERROR(VLOOKUP(E403,Margins!$A:$B,2,TRUE),"")</f>
        <v>0.1</v>
      </c>
      <c r="G403" s="7">
        <f t="shared" si="12"/>
        <v>48720</v>
      </c>
      <c r="H403" t="s">
        <v>68</v>
      </c>
      <c r="I403">
        <v>8120</v>
      </c>
      <c r="J403">
        <f>IF(Table1[[#This Row],[Tickets Sold]]&gt;500,8,5)</f>
        <v>8</v>
      </c>
      <c r="K403">
        <v>5197</v>
      </c>
      <c r="L403" t="str">
        <f>VLOOKUP(H403,Descriptions!A:B, 2, FALSE)</f>
        <v>General Admission (1 day)</v>
      </c>
      <c r="M403">
        <f t="shared" ca="1" si="13"/>
        <v>-2271</v>
      </c>
      <c r="O403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17-GA1Tom-Ham21/7</v>
      </c>
    </row>
    <row r="404" spans="1:15" x14ac:dyDescent="0.35">
      <c r="A404" t="s">
        <v>6</v>
      </c>
      <c r="B404" t="s">
        <v>53</v>
      </c>
      <c r="C404" s="1">
        <v>42937</v>
      </c>
      <c r="D404" t="s">
        <v>79</v>
      </c>
      <c r="E404" s="7">
        <v>70</v>
      </c>
      <c r="F404" s="7">
        <f>IFERROR(VLOOKUP(E404,Margins!$A:$B,2,TRUE),"")</f>
        <v>0.1</v>
      </c>
      <c r="G404" s="7">
        <f t="shared" si="12"/>
        <v>4494</v>
      </c>
      <c r="H404" t="s">
        <v>62</v>
      </c>
      <c r="I404">
        <v>642</v>
      </c>
      <c r="J404">
        <f>IF(Table1[[#This Row],[Tickets Sold]]&gt;500,8,5)</f>
        <v>5</v>
      </c>
      <c r="K404">
        <v>431</v>
      </c>
      <c r="L404" t="str">
        <f>VLOOKUP(H404,Descriptions!A:B, 2, FALSE)</f>
        <v>Seating Cat. 1</v>
      </c>
      <c r="M404">
        <f t="shared" ca="1" si="13"/>
        <v>-2271</v>
      </c>
      <c r="O404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17-SC1Tom-Ham21/7</v>
      </c>
    </row>
    <row r="405" spans="1:15" x14ac:dyDescent="0.35">
      <c r="A405" t="s">
        <v>6</v>
      </c>
      <c r="B405" t="s">
        <v>53</v>
      </c>
      <c r="C405" s="1">
        <v>42937</v>
      </c>
      <c r="D405" t="s">
        <v>79</v>
      </c>
      <c r="E405" s="7">
        <v>102</v>
      </c>
      <c r="F405" s="7">
        <f>IFERROR(VLOOKUP(E405,Margins!$A:$B,2,TRUE),"")</f>
        <v>0.15</v>
      </c>
      <c r="G405" s="7">
        <f t="shared" si="12"/>
        <v>6884.9999999999991</v>
      </c>
      <c r="H405" t="s">
        <v>63</v>
      </c>
      <c r="I405">
        <v>450</v>
      </c>
      <c r="J405">
        <f>IF(Table1[[#This Row],[Tickets Sold]]&gt;500,8,5)</f>
        <v>5</v>
      </c>
      <c r="K405">
        <v>306</v>
      </c>
      <c r="L405" t="str">
        <f>VLOOKUP(H405,Descriptions!A:B, 2, FALSE)</f>
        <v>Seating Cat. 2</v>
      </c>
      <c r="M405">
        <f t="shared" ca="1" si="13"/>
        <v>-2271</v>
      </c>
      <c r="O405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17-SC2Tom-Ham21/7</v>
      </c>
    </row>
    <row r="406" spans="1:15" x14ac:dyDescent="0.35">
      <c r="A406" t="s">
        <v>6</v>
      </c>
      <c r="B406" t="s">
        <v>53</v>
      </c>
      <c r="C406" s="1">
        <v>42937</v>
      </c>
      <c r="D406" t="s">
        <v>79</v>
      </c>
      <c r="E406" s="7">
        <v>270</v>
      </c>
      <c r="F406" s="7">
        <f>IFERROR(VLOOKUP(E406,Margins!$A:$B,2,TRUE),"")</f>
        <v>0.25</v>
      </c>
      <c r="G406" s="7">
        <f t="shared" si="12"/>
        <v>20250</v>
      </c>
      <c r="H406" t="s">
        <v>65</v>
      </c>
      <c r="I406">
        <v>300</v>
      </c>
      <c r="J406">
        <f>IF(Table1[[#This Row],[Tickets Sold]]&gt;500,8,5)</f>
        <v>5</v>
      </c>
      <c r="K406">
        <v>207</v>
      </c>
      <c r="L406" t="str">
        <f>VLOOKUP(H406,Descriptions!A:B, 2, FALSE)</f>
        <v>Ticket + Air travel Package</v>
      </c>
      <c r="M406">
        <f t="shared" ca="1" si="13"/>
        <v>-2271</v>
      </c>
      <c r="O406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17-TA1Tom-Ham21/7</v>
      </c>
    </row>
    <row r="407" spans="1:15" x14ac:dyDescent="0.35">
      <c r="A407" t="s">
        <v>6</v>
      </c>
      <c r="B407" t="s">
        <v>53</v>
      </c>
      <c r="C407" s="1">
        <v>42937</v>
      </c>
      <c r="D407" t="s">
        <v>79</v>
      </c>
      <c r="E407" s="7">
        <v>303</v>
      </c>
      <c r="F407" s="7">
        <f>IFERROR(VLOOKUP(E407,Margins!$A:$B,2,TRUE),"")</f>
        <v>0.25</v>
      </c>
      <c r="G407" s="7">
        <f t="shared" si="12"/>
        <v>15150</v>
      </c>
      <c r="H407" t="s">
        <v>66</v>
      </c>
      <c r="I407">
        <v>200</v>
      </c>
      <c r="J407">
        <f>IF(Table1[[#This Row],[Tickets Sold]]&gt;500,8,5)</f>
        <v>5</v>
      </c>
      <c r="K407">
        <v>104</v>
      </c>
      <c r="L407" t="str">
        <f>VLOOKUP(H407,Descriptions!A:B, 2, FALSE)</f>
        <v>Ticket + Air travel + Hotel Package</v>
      </c>
      <c r="M407">
        <f t="shared" ca="1" si="13"/>
        <v>-2271</v>
      </c>
      <c r="O407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17-TA2Tom-Ham21/7</v>
      </c>
    </row>
    <row r="408" spans="1:15" x14ac:dyDescent="0.35">
      <c r="A408" t="s">
        <v>6</v>
      </c>
      <c r="B408" t="s">
        <v>48</v>
      </c>
      <c r="C408" s="1">
        <v>42939</v>
      </c>
      <c r="D408" t="s">
        <v>79</v>
      </c>
      <c r="E408" s="7">
        <v>55</v>
      </c>
      <c r="F408" s="7">
        <f>IFERROR(VLOOKUP(E408,Margins!$A:$B,2,TRUE),"")</f>
        <v>0.1</v>
      </c>
      <c r="G408" s="7">
        <f t="shared" si="12"/>
        <v>75174</v>
      </c>
      <c r="H408" t="s">
        <v>68</v>
      </c>
      <c r="I408">
        <v>13668</v>
      </c>
      <c r="J408">
        <f>IF(Table1[[#This Row],[Tickets Sold]]&gt;500,8,5)</f>
        <v>8</v>
      </c>
      <c r="K408">
        <v>6834</v>
      </c>
      <c r="L408" t="str">
        <f>VLOOKUP(H408,Descriptions!A:B, 2, FALSE)</f>
        <v>General Admission (1 day)</v>
      </c>
      <c r="M408">
        <f t="shared" ca="1" si="13"/>
        <v>-2269</v>
      </c>
      <c r="O408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17-GA1Tom-Par23/7</v>
      </c>
    </row>
    <row r="409" spans="1:15" x14ac:dyDescent="0.35">
      <c r="A409" t="s">
        <v>6</v>
      </c>
      <c r="B409" t="s">
        <v>48</v>
      </c>
      <c r="C409" s="1">
        <v>42939</v>
      </c>
      <c r="D409" t="s">
        <v>79</v>
      </c>
      <c r="E409" s="7">
        <v>38</v>
      </c>
      <c r="F409" s="7">
        <f>IFERROR(VLOOKUP(E409,Margins!$A:$B,2,TRUE),"")</f>
        <v>7.0000000000000007E-2</v>
      </c>
      <c r="G409" s="7">
        <f t="shared" si="12"/>
        <v>3192</v>
      </c>
      <c r="H409" t="s">
        <v>62</v>
      </c>
      <c r="I409">
        <v>1200</v>
      </c>
      <c r="J409">
        <f>IF(Table1[[#This Row],[Tickets Sold]]&gt;500,8,5)</f>
        <v>8</v>
      </c>
      <c r="K409">
        <v>720</v>
      </c>
      <c r="L409" t="str">
        <f>VLOOKUP(H409,Descriptions!A:B, 2, FALSE)</f>
        <v>Seating Cat. 1</v>
      </c>
      <c r="M409">
        <f t="shared" ca="1" si="13"/>
        <v>-2269</v>
      </c>
      <c r="O409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17-SC1Tom-Par23/7</v>
      </c>
    </row>
    <row r="410" spans="1:15" x14ac:dyDescent="0.35">
      <c r="A410" t="s">
        <v>6</v>
      </c>
      <c r="B410" t="s">
        <v>48</v>
      </c>
      <c r="C410" s="1">
        <v>42939</v>
      </c>
      <c r="D410" t="s">
        <v>79</v>
      </c>
      <c r="E410" s="7">
        <v>72</v>
      </c>
      <c r="F410" s="7">
        <f>IFERROR(VLOOKUP(E410,Margins!$A:$B,2,TRUE),"")</f>
        <v>0.1</v>
      </c>
      <c r="G410" s="7">
        <f t="shared" si="12"/>
        <v>2160</v>
      </c>
      <c r="H410" t="s">
        <v>63</v>
      </c>
      <c r="I410">
        <v>300</v>
      </c>
      <c r="J410">
        <f>IF(Table1[[#This Row],[Tickets Sold]]&gt;500,8,5)</f>
        <v>5</v>
      </c>
      <c r="K410">
        <v>246</v>
      </c>
      <c r="L410" t="str">
        <f>VLOOKUP(H410,Descriptions!A:B, 2, FALSE)</f>
        <v>Seating Cat. 2</v>
      </c>
      <c r="M410">
        <f t="shared" ca="1" si="13"/>
        <v>-2269</v>
      </c>
      <c r="O410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17-SC2Tom-Par23/7</v>
      </c>
    </row>
    <row r="411" spans="1:15" x14ac:dyDescent="0.35">
      <c r="A411" t="s">
        <v>6</v>
      </c>
      <c r="B411" t="s">
        <v>48</v>
      </c>
      <c r="C411" s="1">
        <v>42939</v>
      </c>
      <c r="D411" t="s">
        <v>79</v>
      </c>
      <c r="E411" s="7">
        <v>300</v>
      </c>
      <c r="F411" s="7">
        <f>IFERROR(VLOOKUP(E411,Margins!$A:$B,2,TRUE),"")</f>
        <v>0.25</v>
      </c>
      <c r="G411" s="7">
        <f t="shared" si="12"/>
        <v>22500</v>
      </c>
      <c r="H411" t="s">
        <v>65</v>
      </c>
      <c r="I411">
        <v>300</v>
      </c>
      <c r="J411">
        <f>IF(Table1[[#This Row],[Tickets Sold]]&gt;500,8,5)</f>
        <v>5</v>
      </c>
      <c r="K411">
        <v>285</v>
      </c>
      <c r="L411" t="str">
        <f>VLOOKUP(H411,Descriptions!A:B, 2, FALSE)</f>
        <v>Ticket + Air travel Package</v>
      </c>
      <c r="M411">
        <f t="shared" ca="1" si="13"/>
        <v>-2269</v>
      </c>
      <c r="O411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17-TA1Tom-Par23/7</v>
      </c>
    </row>
    <row r="412" spans="1:15" x14ac:dyDescent="0.35">
      <c r="A412" t="s">
        <v>6</v>
      </c>
      <c r="B412" t="s">
        <v>48</v>
      </c>
      <c r="C412" s="1">
        <v>42939</v>
      </c>
      <c r="D412" t="s">
        <v>79</v>
      </c>
      <c r="E412" s="7">
        <v>321</v>
      </c>
      <c r="F412" s="7">
        <f>IFERROR(VLOOKUP(E412,Margins!$A:$B,2,TRUE),"")</f>
        <v>0.25</v>
      </c>
      <c r="G412" s="7">
        <f t="shared" si="12"/>
        <v>24075</v>
      </c>
      <c r="H412" t="s">
        <v>66</v>
      </c>
      <c r="I412">
        <v>300</v>
      </c>
      <c r="J412">
        <f>IF(Table1[[#This Row],[Tickets Sold]]&gt;500,8,5)</f>
        <v>5</v>
      </c>
      <c r="K412">
        <v>285</v>
      </c>
      <c r="L412" t="str">
        <f>VLOOKUP(H412,Descriptions!A:B, 2, FALSE)</f>
        <v>Ticket + Air travel + Hotel Package</v>
      </c>
      <c r="M412">
        <f t="shared" ca="1" si="13"/>
        <v>-2269</v>
      </c>
      <c r="O412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17-TA2Tom-Par23/7</v>
      </c>
    </row>
    <row r="413" spans="1:15" x14ac:dyDescent="0.35">
      <c r="A413" t="s">
        <v>6</v>
      </c>
      <c r="B413" t="s">
        <v>54</v>
      </c>
      <c r="C413" s="1">
        <v>42941</v>
      </c>
      <c r="D413" t="s">
        <v>79</v>
      </c>
      <c r="E413" s="7">
        <v>45</v>
      </c>
      <c r="F413" s="7">
        <f>IFERROR(VLOOKUP(E413,Margins!$A:$B,2,TRUE),"")</f>
        <v>7.0000000000000007E-2</v>
      </c>
      <c r="G413" s="7">
        <f t="shared" si="12"/>
        <v>27779.850000000002</v>
      </c>
      <c r="H413" t="s">
        <v>68</v>
      </c>
      <c r="I413">
        <v>8819</v>
      </c>
      <c r="J413">
        <f>IF(Table1[[#This Row],[Tickets Sold]]&gt;500,8,5)</f>
        <v>8</v>
      </c>
      <c r="K413">
        <v>7144</v>
      </c>
      <c r="L413" t="str">
        <f>VLOOKUP(H413,Descriptions!A:B, 2, FALSE)</f>
        <v>General Admission (1 day)</v>
      </c>
      <c r="M413">
        <f t="shared" ca="1" si="13"/>
        <v>-2269</v>
      </c>
      <c r="O413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17-GA1Tom-Ber25/7</v>
      </c>
    </row>
    <row r="414" spans="1:15" x14ac:dyDescent="0.35">
      <c r="A414" t="s">
        <v>6</v>
      </c>
      <c r="B414" t="s">
        <v>54</v>
      </c>
      <c r="C414" s="1">
        <v>42941</v>
      </c>
      <c r="D414" t="s">
        <v>79</v>
      </c>
      <c r="E414" s="7">
        <v>74</v>
      </c>
      <c r="F414" s="7">
        <f>IFERROR(VLOOKUP(E414,Margins!$A:$B,2,TRUE),"")</f>
        <v>0.1</v>
      </c>
      <c r="G414" s="7">
        <f t="shared" si="12"/>
        <v>5490.8</v>
      </c>
      <c r="H414" t="s">
        <v>62</v>
      </c>
      <c r="I414">
        <v>742</v>
      </c>
      <c r="J414">
        <f>IF(Table1[[#This Row],[Tickets Sold]]&gt;500,8,5)</f>
        <v>5</v>
      </c>
      <c r="K414">
        <v>490</v>
      </c>
      <c r="L414" t="str">
        <f>VLOOKUP(H414,Descriptions!A:B, 2, FALSE)</f>
        <v>Seating Cat. 1</v>
      </c>
      <c r="M414">
        <f t="shared" ca="1" si="13"/>
        <v>-2269</v>
      </c>
      <c r="O414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17-SC1Tom-Ber25/7</v>
      </c>
    </row>
    <row r="415" spans="1:15" x14ac:dyDescent="0.35">
      <c r="A415" t="s">
        <v>6</v>
      </c>
      <c r="B415" t="s">
        <v>54</v>
      </c>
      <c r="C415" s="1">
        <v>42941</v>
      </c>
      <c r="D415" t="s">
        <v>79</v>
      </c>
      <c r="E415" s="7">
        <v>95</v>
      </c>
      <c r="F415" s="7">
        <f>IFERROR(VLOOKUP(E415,Margins!$A:$B,2,TRUE),"")</f>
        <v>0.1</v>
      </c>
      <c r="G415" s="7">
        <f t="shared" si="12"/>
        <v>3249</v>
      </c>
      <c r="H415" t="s">
        <v>63</v>
      </c>
      <c r="I415">
        <v>342</v>
      </c>
      <c r="J415">
        <f>IF(Table1[[#This Row],[Tickets Sold]]&gt;500,8,5)</f>
        <v>5</v>
      </c>
      <c r="K415">
        <v>206</v>
      </c>
      <c r="L415" t="str">
        <f>VLOOKUP(H415,Descriptions!A:B, 2, FALSE)</f>
        <v>Seating Cat. 2</v>
      </c>
      <c r="M415">
        <f t="shared" ca="1" si="13"/>
        <v>-2269</v>
      </c>
      <c r="O415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17-SC2Tom-Ber25/7</v>
      </c>
    </row>
    <row r="416" spans="1:15" x14ac:dyDescent="0.35">
      <c r="A416" t="s">
        <v>6</v>
      </c>
      <c r="B416" t="s">
        <v>54</v>
      </c>
      <c r="C416" s="1">
        <v>42941</v>
      </c>
      <c r="D416" t="s">
        <v>79</v>
      </c>
      <c r="E416" s="7">
        <v>186</v>
      </c>
      <c r="F416" s="7">
        <f>IFERROR(VLOOKUP(E416,Margins!$A:$B,2,TRUE),"")</f>
        <v>0.15</v>
      </c>
      <c r="G416" s="7">
        <f t="shared" si="12"/>
        <v>8370</v>
      </c>
      <c r="H416" t="s">
        <v>65</v>
      </c>
      <c r="I416">
        <v>300</v>
      </c>
      <c r="J416">
        <f>IF(Table1[[#This Row],[Tickets Sold]]&gt;500,8,5)</f>
        <v>5</v>
      </c>
      <c r="K416">
        <v>150</v>
      </c>
      <c r="L416" t="str">
        <f>VLOOKUP(H416,Descriptions!A:B, 2, FALSE)</f>
        <v>Ticket + Air travel Package</v>
      </c>
      <c r="M416">
        <f t="shared" ca="1" si="13"/>
        <v>-2269</v>
      </c>
      <c r="O416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17-TA1Tom-Ber25/7</v>
      </c>
    </row>
    <row r="417" spans="1:15" x14ac:dyDescent="0.35">
      <c r="A417" t="s">
        <v>6</v>
      </c>
      <c r="B417" t="s">
        <v>54</v>
      </c>
      <c r="C417" s="1">
        <v>42941</v>
      </c>
      <c r="D417" t="s">
        <v>79</v>
      </c>
      <c r="E417" s="7">
        <v>306</v>
      </c>
      <c r="F417" s="7">
        <f>IFERROR(VLOOKUP(E417,Margins!$A:$B,2,TRUE),"")</f>
        <v>0.25</v>
      </c>
      <c r="G417" s="7">
        <f t="shared" si="12"/>
        <v>22950</v>
      </c>
      <c r="H417" t="s">
        <v>66</v>
      </c>
      <c r="I417">
        <v>300</v>
      </c>
      <c r="J417">
        <f>IF(Table1[[#This Row],[Tickets Sold]]&gt;500,8,5)</f>
        <v>5</v>
      </c>
      <c r="K417">
        <v>201</v>
      </c>
      <c r="L417" t="str">
        <f>VLOOKUP(H417,Descriptions!A:B, 2, FALSE)</f>
        <v>Ticket + Air travel + Hotel Package</v>
      </c>
      <c r="M417">
        <f t="shared" ca="1" si="13"/>
        <v>-2269</v>
      </c>
      <c r="O417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17-TA2Tom-Ber25/7</v>
      </c>
    </row>
    <row r="418" spans="1:15" x14ac:dyDescent="0.35">
      <c r="A418" t="s">
        <v>6</v>
      </c>
      <c r="B418" t="s">
        <v>2</v>
      </c>
      <c r="C418" s="1">
        <v>42975</v>
      </c>
      <c r="D418" t="s">
        <v>79</v>
      </c>
      <c r="E418" s="7">
        <v>45</v>
      </c>
      <c r="F418" s="7">
        <f>IFERROR(VLOOKUP(E418,Margins!$A:$B,2,TRUE),"")</f>
        <v>7.0000000000000007E-2</v>
      </c>
      <c r="G418" s="7">
        <f t="shared" si="12"/>
        <v>36735.300000000003</v>
      </c>
      <c r="H418" t="s">
        <v>68</v>
      </c>
      <c r="I418">
        <v>11662</v>
      </c>
      <c r="J418">
        <f>IF(Table1[[#This Row],[Tickets Sold]]&gt;500,8,5)</f>
        <v>8</v>
      </c>
      <c r="K418">
        <v>10263</v>
      </c>
      <c r="L418" t="str">
        <f>VLOOKUP(H418,Descriptions!A:B, 2, FALSE)</f>
        <v>General Admission (1 day)</v>
      </c>
      <c r="M418">
        <f t="shared" ca="1" si="13"/>
        <v>-2244</v>
      </c>
      <c r="O418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17-GA1Tom-Vie28/8</v>
      </c>
    </row>
    <row r="419" spans="1:15" x14ac:dyDescent="0.35">
      <c r="A419" t="s">
        <v>6</v>
      </c>
      <c r="B419" t="s">
        <v>2</v>
      </c>
      <c r="C419" s="1">
        <v>42975</v>
      </c>
      <c r="D419" t="s">
        <v>79</v>
      </c>
      <c r="E419" s="7">
        <v>50</v>
      </c>
      <c r="F419" s="7">
        <f>IFERROR(VLOOKUP(E419,Margins!$A:$B,2,TRUE),"")</f>
        <v>0.1</v>
      </c>
      <c r="G419" s="7">
        <f t="shared" si="12"/>
        <v>3410</v>
      </c>
      <c r="H419" t="s">
        <v>62</v>
      </c>
      <c r="I419">
        <v>682</v>
      </c>
      <c r="J419">
        <f>IF(Table1[[#This Row],[Tickets Sold]]&gt;500,8,5)</f>
        <v>8</v>
      </c>
      <c r="K419">
        <v>601</v>
      </c>
      <c r="L419" t="str">
        <f>VLOOKUP(H419,Descriptions!A:B, 2, FALSE)</f>
        <v>Seating Cat. 1</v>
      </c>
      <c r="M419">
        <f t="shared" ca="1" si="13"/>
        <v>-2244</v>
      </c>
      <c r="O419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17-SC1Tom-Vie28/8</v>
      </c>
    </row>
    <row r="420" spans="1:15" x14ac:dyDescent="0.35">
      <c r="A420" t="s">
        <v>6</v>
      </c>
      <c r="B420" t="s">
        <v>2</v>
      </c>
      <c r="C420" s="1">
        <v>42975</v>
      </c>
      <c r="D420" t="s">
        <v>79</v>
      </c>
      <c r="E420" s="7">
        <v>100</v>
      </c>
      <c r="F420" s="7">
        <f>IFERROR(VLOOKUP(E420,Margins!$A:$B,2,TRUE),"")</f>
        <v>0.15</v>
      </c>
      <c r="G420" s="7">
        <f t="shared" si="12"/>
        <v>2940</v>
      </c>
      <c r="H420" t="s">
        <v>63</v>
      </c>
      <c r="I420">
        <v>196</v>
      </c>
      <c r="J420">
        <f>IF(Table1[[#This Row],[Tickets Sold]]&gt;500,8,5)</f>
        <v>5</v>
      </c>
      <c r="K420">
        <v>175</v>
      </c>
      <c r="L420" t="str">
        <f>VLOOKUP(H420,Descriptions!A:B, 2, FALSE)</f>
        <v>Seating Cat. 2</v>
      </c>
      <c r="M420">
        <f t="shared" ca="1" si="13"/>
        <v>-2244</v>
      </c>
      <c r="O420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17-SC2Tom-Vie28/8</v>
      </c>
    </row>
    <row r="421" spans="1:15" x14ac:dyDescent="0.35">
      <c r="A421" t="s">
        <v>6</v>
      </c>
      <c r="B421" t="s">
        <v>2</v>
      </c>
      <c r="C421" s="1">
        <v>42975</v>
      </c>
      <c r="D421" t="s">
        <v>79</v>
      </c>
      <c r="E421" s="7">
        <v>200</v>
      </c>
      <c r="F421" s="7">
        <f>IFERROR(VLOOKUP(E421,Margins!$A:$B,2,TRUE),"")</f>
        <v>0.25</v>
      </c>
      <c r="G421" s="7">
        <f t="shared" si="12"/>
        <v>20000</v>
      </c>
      <c r="H421" t="s">
        <v>65</v>
      </c>
      <c r="I421">
        <v>400</v>
      </c>
      <c r="J421">
        <f>IF(Table1[[#This Row],[Tickets Sold]]&gt;500,8,5)</f>
        <v>5</v>
      </c>
      <c r="K421">
        <v>260</v>
      </c>
      <c r="L421" t="str">
        <f>VLOOKUP(H421,Descriptions!A:B, 2, FALSE)</f>
        <v>Ticket + Air travel Package</v>
      </c>
      <c r="M421">
        <f t="shared" ca="1" si="13"/>
        <v>-2244</v>
      </c>
      <c r="O421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17-TA1Tom-Vie28/8</v>
      </c>
    </row>
    <row r="422" spans="1:15" x14ac:dyDescent="0.35">
      <c r="A422" t="s">
        <v>6</v>
      </c>
      <c r="B422" t="s">
        <v>2</v>
      </c>
      <c r="C422" s="1">
        <v>42975</v>
      </c>
      <c r="D422" t="s">
        <v>79</v>
      </c>
      <c r="E422" s="7">
        <v>336</v>
      </c>
      <c r="F422" s="7">
        <f>IFERROR(VLOOKUP(E422,Margins!$A:$B,2,TRUE),"")</f>
        <v>0.25</v>
      </c>
      <c r="G422" s="7">
        <f t="shared" si="12"/>
        <v>16800</v>
      </c>
      <c r="H422" t="s">
        <v>66</v>
      </c>
      <c r="I422">
        <v>200</v>
      </c>
      <c r="J422">
        <f>IF(Table1[[#This Row],[Tickets Sold]]&gt;500,8,5)</f>
        <v>5</v>
      </c>
      <c r="K422">
        <v>186</v>
      </c>
      <c r="L422" t="str">
        <f>VLOOKUP(H422,Descriptions!A:B, 2, FALSE)</f>
        <v>Ticket + Air travel + Hotel Package</v>
      </c>
      <c r="M422">
        <f t="shared" ca="1" si="13"/>
        <v>-2244</v>
      </c>
      <c r="O422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17-TA2Tom-Vie28/8</v>
      </c>
    </row>
    <row r="423" spans="1:15" x14ac:dyDescent="0.35">
      <c r="A423" t="s">
        <v>22</v>
      </c>
      <c r="B423" t="s">
        <v>49</v>
      </c>
      <c r="C423" s="1">
        <v>42896</v>
      </c>
      <c r="D423" t="s">
        <v>20</v>
      </c>
      <c r="E423" s="7">
        <v>35</v>
      </c>
      <c r="F423" s="7">
        <f>IFERROR(VLOOKUP(E423,Margins!$A:$B,2,TRUE),"")</f>
        <v>7.0000000000000007E-2</v>
      </c>
      <c r="G423" s="7">
        <f t="shared" si="12"/>
        <v>2425.5</v>
      </c>
      <c r="H423" t="s">
        <v>62</v>
      </c>
      <c r="I423">
        <v>990</v>
      </c>
      <c r="J423">
        <f>IF(Table1[[#This Row],[Tickets Sold]]&gt;500,8,5)</f>
        <v>8</v>
      </c>
      <c r="K423">
        <v>812</v>
      </c>
      <c r="L423" t="str">
        <f>VLOOKUP(H423,Descriptions!A:B, 2, FALSE)</f>
        <v>Seating Cat. 1</v>
      </c>
      <c r="M423">
        <f t="shared" ca="1" si="13"/>
        <v>-2300</v>
      </c>
      <c r="O423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17-SC1Tos-Nic10/6</v>
      </c>
    </row>
    <row r="424" spans="1:15" x14ac:dyDescent="0.35">
      <c r="A424" t="s">
        <v>22</v>
      </c>
      <c r="B424" t="s">
        <v>49</v>
      </c>
      <c r="C424" s="1">
        <v>42896</v>
      </c>
      <c r="D424" t="s">
        <v>20</v>
      </c>
      <c r="E424" s="7">
        <v>83</v>
      </c>
      <c r="F424" s="7">
        <f>IFERROR(VLOOKUP(E424,Margins!$A:$B,2,TRUE),"")</f>
        <v>0.1</v>
      </c>
      <c r="G424" s="7">
        <f t="shared" si="12"/>
        <v>4548.4000000000005</v>
      </c>
      <c r="H424" t="s">
        <v>63</v>
      </c>
      <c r="I424">
        <v>548</v>
      </c>
      <c r="J424">
        <f>IF(Table1[[#This Row],[Tickets Sold]]&gt;500,8,5)</f>
        <v>5</v>
      </c>
      <c r="K424">
        <v>335</v>
      </c>
      <c r="L424" t="str">
        <f>VLOOKUP(H424,Descriptions!A:B, 2, FALSE)</f>
        <v>Seating Cat. 2</v>
      </c>
      <c r="M424">
        <f t="shared" ca="1" si="13"/>
        <v>-2300</v>
      </c>
      <c r="O424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17-SC2Tos-Nic10/6</v>
      </c>
    </row>
    <row r="425" spans="1:15" x14ac:dyDescent="0.35">
      <c r="A425" t="s">
        <v>22</v>
      </c>
      <c r="B425" t="s">
        <v>49</v>
      </c>
      <c r="C425" s="1">
        <v>42896</v>
      </c>
      <c r="D425" t="s">
        <v>20</v>
      </c>
      <c r="E425" s="7">
        <v>110</v>
      </c>
      <c r="F425" s="7">
        <f>IFERROR(VLOOKUP(E425,Margins!$A:$B,2,TRUE),"")</f>
        <v>0.15</v>
      </c>
      <c r="G425" s="7">
        <f t="shared" si="12"/>
        <v>5280</v>
      </c>
      <c r="H425" t="s">
        <v>64</v>
      </c>
      <c r="I425">
        <v>320</v>
      </c>
      <c r="J425">
        <f>IF(Table1[[#This Row],[Tickets Sold]]&gt;500,8,5)</f>
        <v>5</v>
      </c>
      <c r="K425">
        <v>180</v>
      </c>
      <c r="L425" t="str">
        <f>VLOOKUP(H425,Descriptions!A:B, 2, FALSE)</f>
        <v>Seating Cat. 3</v>
      </c>
      <c r="M425">
        <f t="shared" ca="1" si="13"/>
        <v>-2300</v>
      </c>
      <c r="O425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17-SC3Tos-Nic10/6</v>
      </c>
    </row>
    <row r="426" spans="1:15" x14ac:dyDescent="0.35">
      <c r="A426" t="s">
        <v>22</v>
      </c>
      <c r="B426" t="s">
        <v>49</v>
      </c>
      <c r="C426" s="1">
        <v>42896</v>
      </c>
      <c r="D426" t="s">
        <v>20</v>
      </c>
      <c r="E426" s="7">
        <v>247</v>
      </c>
      <c r="F426" s="7">
        <f>IFERROR(VLOOKUP(E426,Margins!$A:$B,2,TRUE),"")</f>
        <v>0.25</v>
      </c>
      <c r="G426" s="7">
        <f t="shared" si="12"/>
        <v>18525</v>
      </c>
      <c r="H426" t="s">
        <v>65</v>
      </c>
      <c r="I426">
        <v>300</v>
      </c>
      <c r="J426">
        <f>IF(Table1[[#This Row],[Tickets Sold]]&gt;500,8,5)</f>
        <v>5</v>
      </c>
      <c r="K426">
        <v>204</v>
      </c>
      <c r="L426" t="str">
        <f>VLOOKUP(H426,Descriptions!A:B, 2, FALSE)</f>
        <v>Ticket + Air travel Package</v>
      </c>
      <c r="M426">
        <f t="shared" ca="1" si="13"/>
        <v>-2300</v>
      </c>
      <c r="O426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17-TA1Tos-Nic10/6</v>
      </c>
    </row>
    <row r="427" spans="1:15" x14ac:dyDescent="0.35">
      <c r="A427" t="s">
        <v>22</v>
      </c>
      <c r="B427" t="s">
        <v>49</v>
      </c>
      <c r="C427" s="1">
        <v>42896</v>
      </c>
      <c r="D427" t="s">
        <v>20</v>
      </c>
      <c r="E427" s="7">
        <v>24</v>
      </c>
      <c r="F427" s="7">
        <f>IFERROR(VLOOKUP(E427,Margins!$A:$B,2,TRUE),"")</f>
        <v>7.0000000000000007E-2</v>
      </c>
      <c r="G427" s="7">
        <f t="shared" si="12"/>
        <v>117.60000000000001</v>
      </c>
      <c r="H427" t="s">
        <v>11</v>
      </c>
      <c r="I427">
        <v>70</v>
      </c>
      <c r="J427">
        <f>IF(Table1[[#This Row],[Tickets Sold]]&gt;500,8,5)</f>
        <v>5</v>
      </c>
      <c r="K427">
        <v>55</v>
      </c>
      <c r="L427" t="str">
        <f>VLOOKUP(H427,Descriptions!A:B, 2, FALSE)</f>
        <v>Parking place</v>
      </c>
      <c r="M427">
        <f t="shared" ca="1" si="13"/>
        <v>-2300</v>
      </c>
      <c r="O427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17-POSTos-Nic10/6</v>
      </c>
    </row>
    <row r="428" spans="1:15" x14ac:dyDescent="0.35">
      <c r="A428" t="s">
        <v>22</v>
      </c>
      <c r="B428" t="s">
        <v>49</v>
      </c>
      <c r="C428" s="1">
        <v>42896</v>
      </c>
      <c r="D428" t="s">
        <v>20</v>
      </c>
      <c r="E428" s="7">
        <v>362</v>
      </c>
      <c r="F428" s="7">
        <f>IFERROR(VLOOKUP(E428,Margins!$A:$B,2,TRUE),"")</f>
        <v>0.25</v>
      </c>
      <c r="G428" s="7">
        <f t="shared" si="12"/>
        <v>18100</v>
      </c>
      <c r="H428" t="s">
        <v>66</v>
      </c>
      <c r="I428">
        <v>200</v>
      </c>
      <c r="J428">
        <f>IF(Table1[[#This Row],[Tickets Sold]]&gt;500,8,5)</f>
        <v>5</v>
      </c>
      <c r="K428">
        <v>124</v>
      </c>
      <c r="L428" t="str">
        <f>VLOOKUP(H428,Descriptions!A:B, 2, FALSE)</f>
        <v>Ticket + Air travel + Hotel Package</v>
      </c>
      <c r="M428">
        <f t="shared" ca="1" si="13"/>
        <v>-2300</v>
      </c>
      <c r="O428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17-TA2Tos-Nic10/6</v>
      </c>
    </row>
    <row r="429" spans="1:15" x14ac:dyDescent="0.35">
      <c r="A429" t="s">
        <v>22</v>
      </c>
      <c r="B429" t="s">
        <v>48</v>
      </c>
      <c r="C429" s="1">
        <v>42950</v>
      </c>
      <c r="D429" t="s">
        <v>20</v>
      </c>
      <c r="E429" s="7">
        <v>74</v>
      </c>
      <c r="F429" s="7">
        <f>IFERROR(VLOOKUP(E429,Margins!$A:$B,2,TRUE),"")</f>
        <v>0.1</v>
      </c>
      <c r="G429" s="7">
        <f t="shared" si="12"/>
        <v>10582</v>
      </c>
      <c r="H429" t="s">
        <v>62</v>
      </c>
      <c r="I429">
        <v>1430</v>
      </c>
      <c r="J429">
        <f>IF(Table1[[#This Row],[Tickets Sold]]&gt;500,8,5)</f>
        <v>8</v>
      </c>
      <c r="K429">
        <v>959</v>
      </c>
      <c r="L429" t="str">
        <f>VLOOKUP(H429,Descriptions!A:B, 2, FALSE)</f>
        <v>Seating Cat. 1</v>
      </c>
      <c r="M429">
        <f t="shared" ca="1" si="13"/>
        <v>-2262</v>
      </c>
      <c r="O429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17-SC1Tos-Par3/8</v>
      </c>
    </row>
    <row r="430" spans="1:15" x14ac:dyDescent="0.35">
      <c r="A430" t="s">
        <v>22</v>
      </c>
      <c r="B430" t="s">
        <v>48</v>
      </c>
      <c r="C430" s="1">
        <v>42950</v>
      </c>
      <c r="D430" t="s">
        <v>20</v>
      </c>
      <c r="E430" s="7">
        <v>93</v>
      </c>
      <c r="F430" s="7">
        <f>IFERROR(VLOOKUP(E430,Margins!$A:$B,2,TRUE),"")</f>
        <v>0.1</v>
      </c>
      <c r="G430" s="7">
        <f t="shared" si="12"/>
        <v>6119.4000000000005</v>
      </c>
      <c r="H430" t="s">
        <v>63</v>
      </c>
      <c r="I430">
        <v>658</v>
      </c>
      <c r="J430">
        <f>IF(Table1[[#This Row],[Tickets Sold]]&gt;500,8,5)</f>
        <v>5</v>
      </c>
      <c r="K430">
        <v>474</v>
      </c>
      <c r="L430" t="str">
        <f>VLOOKUP(H430,Descriptions!A:B, 2, FALSE)</f>
        <v>Seating Cat. 2</v>
      </c>
      <c r="M430">
        <f t="shared" ca="1" si="13"/>
        <v>-2262</v>
      </c>
      <c r="O430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17-SC2Tos-Par3/8</v>
      </c>
    </row>
    <row r="431" spans="1:15" x14ac:dyDescent="0.35">
      <c r="A431" t="s">
        <v>22</v>
      </c>
      <c r="B431" t="s">
        <v>48</v>
      </c>
      <c r="C431" s="1">
        <v>42950</v>
      </c>
      <c r="D431" t="s">
        <v>20</v>
      </c>
      <c r="E431" s="7">
        <v>152</v>
      </c>
      <c r="F431" s="7">
        <f>IFERROR(VLOOKUP(E431,Margins!$A:$B,2,TRUE),"")</f>
        <v>0.15</v>
      </c>
      <c r="G431" s="7">
        <f t="shared" si="12"/>
        <v>7296</v>
      </c>
      <c r="H431" t="s">
        <v>64</v>
      </c>
      <c r="I431">
        <v>320</v>
      </c>
      <c r="J431">
        <f>IF(Table1[[#This Row],[Tickets Sold]]&gt;500,8,5)</f>
        <v>5</v>
      </c>
      <c r="K431">
        <v>292</v>
      </c>
      <c r="L431" t="str">
        <f>VLOOKUP(H431,Descriptions!A:B, 2, FALSE)</f>
        <v>Seating Cat. 3</v>
      </c>
      <c r="M431">
        <f t="shared" ca="1" si="13"/>
        <v>-2262</v>
      </c>
      <c r="O431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17-SC3Tos-Par3/8</v>
      </c>
    </row>
    <row r="432" spans="1:15" x14ac:dyDescent="0.35">
      <c r="A432" t="s">
        <v>22</v>
      </c>
      <c r="B432" t="s">
        <v>48</v>
      </c>
      <c r="C432" s="1">
        <v>42950</v>
      </c>
      <c r="D432" t="s">
        <v>20</v>
      </c>
      <c r="E432" s="7">
        <v>235</v>
      </c>
      <c r="F432" s="7">
        <f>IFERROR(VLOOKUP(E432,Margins!$A:$B,2,TRUE),"")</f>
        <v>0.25</v>
      </c>
      <c r="G432" s="7">
        <f t="shared" si="12"/>
        <v>17625</v>
      </c>
      <c r="H432" t="s">
        <v>65</v>
      </c>
      <c r="I432">
        <v>300</v>
      </c>
      <c r="J432">
        <f>IF(Table1[[#This Row],[Tickets Sold]]&gt;500,8,5)</f>
        <v>5</v>
      </c>
      <c r="K432">
        <v>255</v>
      </c>
      <c r="L432" t="str">
        <f>VLOOKUP(H432,Descriptions!A:B, 2, FALSE)</f>
        <v>Ticket + Air travel Package</v>
      </c>
      <c r="M432">
        <f t="shared" ca="1" si="13"/>
        <v>-2262</v>
      </c>
      <c r="O432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17-TA1Tos-Par3/8</v>
      </c>
    </row>
    <row r="433" spans="1:15" x14ac:dyDescent="0.35">
      <c r="A433" t="s">
        <v>22</v>
      </c>
      <c r="B433" t="s">
        <v>48</v>
      </c>
      <c r="C433" s="1">
        <v>42950</v>
      </c>
      <c r="D433" t="s">
        <v>20</v>
      </c>
      <c r="E433" s="7">
        <v>18</v>
      </c>
      <c r="F433" s="7">
        <f>IFERROR(VLOOKUP(E433,Margins!$A:$B,2,TRUE),"")</f>
        <v>7.0000000000000007E-2</v>
      </c>
      <c r="G433" s="7">
        <f t="shared" si="12"/>
        <v>189.00000000000003</v>
      </c>
      <c r="H433" t="s">
        <v>11</v>
      </c>
      <c r="I433">
        <v>150</v>
      </c>
      <c r="J433">
        <f>IF(Table1[[#This Row],[Tickets Sold]]&gt;500,8,5)</f>
        <v>5</v>
      </c>
      <c r="K433">
        <v>92</v>
      </c>
      <c r="L433" t="str">
        <f>VLOOKUP(H433,Descriptions!A:B, 2, FALSE)</f>
        <v>Parking place</v>
      </c>
      <c r="M433">
        <f t="shared" ca="1" si="13"/>
        <v>-2262</v>
      </c>
      <c r="O433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17-POSTos-Par3/8</v>
      </c>
    </row>
    <row r="434" spans="1:15" x14ac:dyDescent="0.35">
      <c r="A434" t="s">
        <v>22</v>
      </c>
      <c r="B434" t="s">
        <v>48</v>
      </c>
      <c r="C434" s="1">
        <v>42950</v>
      </c>
      <c r="D434" t="s">
        <v>20</v>
      </c>
      <c r="E434" s="7">
        <v>345</v>
      </c>
      <c r="F434" s="7">
        <f>IFERROR(VLOOKUP(E434,Margins!$A:$B,2,TRUE),"")</f>
        <v>0.25</v>
      </c>
      <c r="G434" s="7">
        <f t="shared" si="12"/>
        <v>34500</v>
      </c>
      <c r="H434" t="s">
        <v>66</v>
      </c>
      <c r="I434">
        <v>400</v>
      </c>
      <c r="J434">
        <f>IF(Table1[[#This Row],[Tickets Sold]]&gt;500,8,5)</f>
        <v>5</v>
      </c>
      <c r="K434">
        <v>212</v>
      </c>
      <c r="L434" t="str">
        <f>VLOOKUP(H434,Descriptions!A:B, 2, FALSE)</f>
        <v>Ticket + Air travel + Hotel Package</v>
      </c>
      <c r="M434">
        <f t="shared" ca="1" si="13"/>
        <v>-2262</v>
      </c>
      <c r="O434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17-TA2Tos-Par3/8</v>
      </c>
    </row>
    <row r="435" spans="1:15" x14ac:dyDescent="0.35">
      <c r="A435" t="s">
        <v>22</v>
      </c>
      <c r="B435" t="s">
        <v>30</v>
      </c>
      <c r="C435" s="1">
        <v>42975</v>
      </c>
      <c r="D435" t="s">
        <v>20</v>
      </c>
      <c r="E435" s="7">
        <v>34</v>
      </c>
      <c r="F435" s="7">
        <f>IFERROR(VLOOKUP(E435,Margins!$A:$B,2,TRUE),"")</f>
        <v>7.0000000000000007E-2</v>
      </c>
      <c r="G435" s="7">
        <f t="shared" si="12"/>
        <v>2998.8000000000006</v>
      </c>
      <c r="H435" t="s">
        <v>62</v>
      </c>
      <c r="I435">
        <v>1260</v>
      </c>
      <c r="J435">
        <f>IF(Table1[[#This Row],[Tickets Sold]]&gt;500,8,5)</f>
        <v>8</v>
      </c>
      <c r="K435">
        <v>719</v>
      </c>
      <c r="L435" t="str">
        <f>VLOOKUP(H435,Descriptions!A:B, 2, FALSE)</f>
        <v>Seating Cat. 1</v>
      </c>
      <c r="M435">
        <f t="shared" ca="1" si="13"/>
        <v>-2244</v>
      </c>
      <c r="O435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17-SC1Tos-Ams28/8</v>
      </c>
    </row>
    <row r="436" spans="1:15" x14ac:dyDescent="0.35">
      <c r="A436" t="s">
        <v>22</v>
      </c>
      <c r="B436" t="s">
        <v>30</v>
      </c>
      <c r="C436" s="1">
        <v>42975</v>
      </c>
      <c r="D436" t="s">
        <v>20</v>
      </c>
      <c r="E436" s="7">
        <v>97</v>
      </c>
      <c r="F436" s="7">
        <f>IFERROR(VLOOKUP(E436,Margins!$A:$B,2,TRUE),"")</f>
        <v>0.1</v>
      </c>
      <c r="G436" s="7">
        <f t="shared" si="12"/>
        <v>6615.4000000000005</v>
      </c>
      <c r="H436" t="s">
        <v>63</v>
      </c>
      <c r="I436">
        <v>682</v>
      </c>
      <c r="J436">
        <f>IF(Table1[[#This Row],[Tickets Sold]]&gt;500,8,5)</f>
        <v>8</v>
      </c>
      <c r="K436">
        <v>505</v>
      </c>
      <c r="L436" t="str">
        <f>VLOOKUP(H436,Descriptions!A:B, 2, FALSE)</f>
        <v>Seating Cat. 2</v>
      </c>
      <c r="M436">
        <f t="shared" ca="1" si="13"/>
        <v>-2244</v>
      </c>
      <c r="O436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17-SC2Tos-Ams28/8</v>
      </c>
    </row>
    <row r="437" spans="1:15" x14ac:dyDescent="0.35">
      <c r="A437" t="s">
        <v>22</v>
      </c>
      <c r="B437" t="s">
        <v>30</v>
      </c>
      <c r="C437" s="1">
        <v>42975</v>
      </c>
      <c r="D437" t="s">
        <v>20</v>
      </c>
      <c r="E437" s="7">
        <v>130</v>
      </c>
      <c r="F437" s="7">
        <f>IFERROR(VLOOKUP(E437,Margins!$A:$B,2,TRUE),"")</f>
        <v>0.15</v>
      </c>
      <c r="G437" s="7">
        <f t="shared" si="12"/>
        <v>8229</v>
      </c>
      <c r="H437" t="s">
        <v>64</v>
      </c>
      <c r="I437">
        <v>422</v>
      </c>
      <c r="J437">
        <f>IF(Table1[[#This Row],[Tickets Sold]]&gt;500,8,5)</f>
        <v>5</v>
      </c>
      <c r="K437">
        <v>292</v>
      </c>
      <c r="L437" t="str">
        <f>VLOOKUP(H437,Descriptions!A:B, 2, FALSE)</f>
        <v>Seating Cat. 3</v>
      </c>
      <c r="M437">
        <f t="shared" ca="1" si="13"/>
        <v>-2244</v>
      </c>
      <c r="O437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17-SC3Tos-Ams28/8</v>
      </c>
    </row>
    <row r="438" spans="1:15" x14ac:dyDescent="0.35">
      <c r="A438" t="s">
        <v>22</v>
      </c>
      <c r="B438" t="s">
        <v>30</v>
      </c>
      <c r="C438" s="1">
        <v>42975</v>
      </c>
      <c r="D438" t="s">
        <v>20</v>
      </c>
      <c r="E438" s="7">
        <v>294</v>
      </c>
      <c r="F438" s="7">
        <f>IFERROR(VLOOKUP(E438,Margins!$A:$B,2,TRUE),"")</f>
        <v>0.25</v>
      </c>
      <c r="G438" s="7">
        <f t="shared" si="12"/>
        <v>22050</v>
      </c>
      <c r="H438" t="s">
        <v>65</v>
      </c>
      <c r="I438">
        <v>300</v>
      </c>
      <c r="J438">
        <f>IF(Table1[[#This Row],[Tickets Sold]]&gt;500,8,5)</f>
        <v>5</v>
      </c>
      <c r="K438">
        <v>153</v>
      </c>
      <c r="L438" t="str">
        <f>VLOOKUP(H438,Descriptions!A:B, 2, FALSE)</f>
        <v>Ticket + Air travel Package</v>
      </c>
      <c r="M438">
        <f t="shared" ca="1" si="13"/>
        <v>-2244</v>
      </c>
      <c r="O438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17-TA1Tos-Ams28/8</v>
      </c>
    </row>
    <row r="439" spans="1:15" x14ac:dyDescent="0.35">
      <c r="A439" t="s">
        <v>22</v>
      </c>
      <c r="B439" t="s">
        <v>30</v>
      </c>
      <c r="C439" s="1">
        <v>42975</v>
      </c>
      <c r="D439" t="s">
        <v>20</v>
      </c>
      <c r="E439" s="7">
        <v>26</v>
      </c>
      <c r="F439" s="7">
        <f>IFERROR(VLOOKUP(E439,Margins!$A:$B,2,TRUE),"")</f>
        <v>7.0000000000000007E-2</v>
      </c>
      <c r="G439" s="7">
        <f t="shared" si="12"/>
        <v>273.00000000000006</v>
      </c>
      <c r="H439" t="s">
        <v>11</v>
      </c>
      <c r="I439">
        <v>150</v>
      </c>
      <c r="J439">
        <f>IF(Table1[[#This Row],[Tickets Sold]]&gt;500,8,5)</f>
        <v>5</v>
      </c>
      <c r="K439">
        <v>107</v>
      </c>
      <c r="L439" t="str">
        <f>VLOOKUP(H439,Descriptions!A:B, 2, FALSE)</f>
        <v>Parking place</v>
      </c>
      <c r="M439">
        <f t="shared" ca="1" si="13"/>
        <v>-2244</v>
      </c>
      <c r="O439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17-POSTos-Ams28/8</v>
      </c>
    </row>
    <row r="440" spans="1:15" x14ac:dyDescent="0.35">
      <c r="A440" t="s">
        <v>22</v>
      </c>
      <c r="B440" t="s">
        <v>30</v>
      </c>
      <c r="C440" s="1">
        <v>42975</v>
      </c>
      <c r="D440" t="s">
        <v>20</v>
      </c>
      <c r="E440" s="7">
        <v>354</v>
      </c>
      <c r="F440" s="7">
        <f>IFERROR(VLOOKUP(E440,Margins!$A:$B,2,TRUE),"")</f>
        <v>0.25</v>
      </c>
      <c r="G440" s="7">
        <f t="shared" si="12"/>
        <v>35400</v>
      </c>
      <c r="H440" t="s">
        <v>66</v>
      </c>
      <c r="I440">
        <v>400</v>
      </c>
      <c r="J440">
        <f>IF(Table1[[#This Row],[Tickets Sold]]&gt;500,8,5)</f>
        <v>5</v>
      </c>
      <c r="K440">
        <v>272</v>
      </c>
      <c r="L440" t="str">
        <f>VLOOKUP(H440,Descriptions!A:B, 2, FALSE)</f>
        <v>Ticket + Air travel + Hotel Package</v>
      </c>
      <c r="M440">
        <f t="shared" ca="1" si="13"/>
        <v>-2244</v>
      </c>
      <c r="O440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17-TA2Tos-Ams28/8</v>
      </c>
    </row>
    <row r="441" spans="1:15" x14ac:dyDescent="0.35">
      <c r="A441" t="s">
        <v>18</v>
      </c>
      <c r="B441" t="s">
        <v>56</v>
      </c>
      <c r="C441" s="1">
        <v>42923</v>
      </c>
      <c r="D441" t="s">
        <v>20</v>
      </c>
      <c r="E441" s="7">
        <v>35</v>
      </c>
      <c r="F441" s="7">
        <f>IFERROR(VLOOKUP(E441,Margins!$A:$B,2,TRUE),"")</f>
        <v>7.0000000000000007E-2</v>
      </c>
      <c r="G441" s="7">
        <f t="shared" si="12"/>
        <v>2303</v>
      </c>
      <c r="H441" t="s">
        <v>62</v>
      </c>
      <c r="I441">
        <v>940</v>
      </c>
      <c r="J441">
        <f>IF(Table1[[#This Row],[Tickets Sold]]&gt;500,8,5)</f>
        <v>8</v>
      </c>
      <c r="K441">
        <v>527</v>
      </c>
      <c r="L441" t="str">
        <f>VLOOKUP(H441,Descriptions!A:B, 2, FALSE)</f>
        <v>Seating Cat. 1</v>
      </c>
      <c r="M441">
        <f t="shared" ca="1" si="13"/>
        <v>-2281</v>
      </c>
      <c r="O441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17-SC1Tur-Edi7/7</v>
      </c>
    </row>
    <row r="442" spans="1:15" x14ac:dyDescent="0.35">
      <c r="A442" t="s">
        <v>18</v>
      </c>
      <c r="B442" t="s">
        <v>56</v>
      </c>
      <c r="C442" s="1">
        <v>42923</v>
      </c>
      <c r="D442" t="s">
        <v>20</v>
      </c>
      <c r="E442" s="7">
        <v>97</v>
      </c>
      <c r="F442" s="7">
        <f>IFERROR(VLOOKUP(E442,Margins!$A:$B,2,TRUE),"")</f>
        <v>0.1</v>
      </c>
      <c r="G442" s="7">
        <f t="shared" si="12"/>
        <v>3492.0000000000005</v>
      </c>
      <c r="H442" t="s">
        <v>63</v>
      </c>
      <c r="I442">
        <v>360</v>
      </c>
      <c r="J442">
        <f>IF(Table1[[#This Row],[Tickets Sold]]&gt;500,8,5)</f>
        <v>5</v>
      </c>
      <c r="K442">
        <v>270</v>
      </c>
      <c r="L442" t="str">
        <f>VLOOKUP(H442,Descriptions!A:B, 2, FALSE)</f>
        <v>Seating Cat. 2</v>
      </c>
      <c r="M442">
        <f t="shared" ca="1" si="13"/>
        <v>-2281</v>
      </c>
      <c r="O442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17-SC2Tur-Edi7/7</v>
      </c>
    </row>
    <row r="443" spans="1:15" x14ac:dyDescent="0.35">
      <c r="A443" t="s">
        <v>18</v>
      </c>
      <c r="B443" t="s">
        <v>56</v>
      </c>
      <c r="C443" s="1">
        <v>42923</v>
      </c>
      <c r="D443" t="s">
        <v>20</v>
      </c>
      <c r="E443" s="7">
        <v>152</v>
      </c>
      <c r="F443" s="7">
        <f>IFERROR(VLOOKUP(E443,Margins!$A:$B,2,TRUE),"")</f>
        <v>0.15</v>
      </c>
      <c r="G443" s="7">
        <f t="shared" si="12"/>
        <v>5700</v>
      </c>
      <c r="H443" t="s">
        <v>64</v>
      </c>
      <c r="I443">
        <v>250</v>
      </c>
      <c r="J443">
        <f>IF(Table1[[#This Row],[Tickets Sold]]&gt;500,8,5)</f>
        <v>5</v>
      </c>
      <c r="K443">
        <v>175</v>
      </c>
      <c r="L443" t="str">
        <f>VLOOKUP(H443,Descriptions!A:B, 2, FALSE)</f>
        <v>Seating Cat. 3</v>
      </c>
      <c r="M443">
        <f t="shared" ca="1" si="13"/>
        <v>-2281</v>
      </c>
      <c r="O443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17-SC3Tur-Edi7/7</v>
      </c>
    </row>
    <row r="444" spans="1:15" x14ac:dyDescent="0.35">
      <c r="A444" t="s">
        <v>18</v>
      </c>
      <c r="B444" t="s">
        <v>56</v>
      </c>
      <c r="C444" s="1">
        <v>42923</v>
      </c>
      <c r="D444" t="s">
        <v>20</v>
      </c>
      <c r="E444" s="7">
        <v>272</v>
      </c>
      <c r="F444" s="7">
        <f>IFERROR(VLOOKUP(E444,Margins!$A:$B,2,TRUE),"")</f>
        <v>0.25</v>
      </c>
      <c r="G444" s="7">
        <f t="shared" si="12"/>
        <v>20400</v>
      </c>
      <c r="H444" t="s">
        <v>65</v>
      </c>
      <c r="I444">
        <v>300</v>
      </c>
      <c r="J444">
        <f>IF(Table1[[#This Row],[Tickets Sold]]&gt;500,8,5)</f>
        <v>5</v>
      </c>
      <c r="K444">
        <v>195</v>
      </c>
      <c r="L444" t="str">
        <f>VLOOKUP(H444,Descriptions!A:B, 2, FALSE)</f>
        <v>Ticket + Air travel Package</v>
      </c>
      <c r="M444">
        <f t="shared" ca="1" si="13"/>
        <v>-2281</v>
      </c>
      <c r="O444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17-TA1Tur-Edi7/7</v>
      </c>
    </row>
    <row r="445" spans="1:15" x14ac:dyDescent="0.35">
      <c r="A445" t="s">
        <v>18</v>
      </c>
      <c r="B445" t="s">
        <v>56</v>
      </c>
      <c r="C445" s="1">
        <v>42923</v>
      </c>
      <c r="D445" t="s">
        <v>20</v>
      </c>
      <c r="E445" s="7">
        <v>17</v>
      </c>
      <c r="F445" s="7">
        <f>IFERROR(VLOOKUP(E445,Margins!$A:$B,2,TRUE),"")</f>
        <v>7.0000000000000007E-2</v>
      </c>
      <c r="G445" s="7">
        <f t="shared" si="12"/>
        <v>119.00000000000001</v>
      </c>
      <c r="H445" t="s">
        <v>11</v>
      </c>
      <c r="I445">
        <v>100</v>
      </c>
      <c r="J445">
        <f>IF(Table1[[#This Row],[Tickets Sold]]&gt;500,8,5)</f>
        <v>5</v>
      </c>
      <c r="K445">
        <v>90</v>
      </c>
      <c r="L445" t="str">
        <f>VLOOKUP(H445,Descriptions!A:B, 2, FALSE)</f>
        <v>Parking place</v>
      </c>
      <c r="M445">
        <f t="shared" ca="1" si="13"/>
        <v>-2281</v>
      </c>
      <c r="O445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17-POSTur-Edi7/7</v>
      </c>
    </row>
    <row r="446" spans="1:15" x14ac:dyDescent="0.35">
      <c r="A446" t="s">
        <v>18</v>
      </c>
      <c r="B446" t="s">
        <v>56</v>
      </c>
      <c r="C446" s="1">
        <v>42923</v>
      </c>
      <c r="D446" t="s">
        <v>20</v>
      </c>
      <c r="E446" s="7">
        <v>342</v>
      </c>
      <c r="F446" s="7">
        <f>IFERROR(VLOOKUP(E446,Margins!$A:$B,2,TRUE),"")</f>
        <v>0.25</v>
      </c>
      <c r="G446" s="7">
        <f t="shared" si="12"/>
        <v>25650</v>
      </c>
      <c r="H446" t="s">
        <v>66</v>
      </c>
      <c r="I446">
        <v>300</v>
      </c>
      <c r="J446">
        <f>IF(Table1[[#This Row],[Tickets Sold]]&gt;500,8,5)</f>
        <v>5</v>
      </c>
      <c r="K446">
        <v>285</v>
      </c>
      <c r="L446" t="str">
        <f>VLOOKUP(H446,Descriptions!A:B, 2, FALSE)</f>
        <v>Ticket + Air travel + Hotel Package</v>
      </c>
      <c r="M446">
        <f t="shared" ca="1" si="13"/>
        <v>-2281</v>
      </c>
      <c r="O446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17-TA2Tur-Edi7/7</v>
      </c>
    </row>
    <row r="447" spans="1:15" x14ac:dyDescent="0.35">
      <c r="A447" t="s">
        <v>18</v>
      </c>
      <c r="B447" t="s">
        <v>2</v>
      </c>
      <c r="C447" s="1">
        <v>42965</v>
      </c>
      <c r="D447" t="s">
        <v>20</v>
      </c>
      <c r="E447" s="7">
        <v>61</v>
      </c>
      <c r="F447" s="7">
        <f>IFERROR(VLOOKUP(E447,Margins!$A:$B,2,TRUE),"")</f>
        <v>0.1</v>
      </c>
      <c r="G447" s="7">
        <f t="shared" si="12"/>
        <v>18300</v>
      </c>
      <c r="H447" t="s">
        <v>62</v>
      </c>
      <c r="I447">
        <v>3000</v>
      </c>
      <c r="J447">
        <f>IF(Table1[[#This Row],[Tickets Sold]]&gt;500,8,5)</f>
        <v>8</v>
      </c>
      <c r="K447">
        <v>1950</v>
      </c>
      <c r="L447" t="str">
        <f>VLOOKUP(H447,Descriptions!A:B, 2, FALSE)</f>
        <v>Seating Cat. 1</v>
      </c>
      <c r="M447">
        <f t="shared" ca="1" si="13"/>
        <v>-2251</v>
      </c>
      <c r="O447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17-SC1Tur-Vie18/8</v>
      </c>
    </row>
    <row r="448" spans="1:15" x14ac:dyDescent="0.35">
      <c r="A448" t="s">
        <v>18</v>
      </c>
      <c r="B448" t="s">
        <v>2</v>
      </c>
      <c r="C448" s="1">
        <v>42965</v>
      </c>
      <c r="D448" t="s">
        <v>20</v>
      </c>
      <c r="E448" s="7">
        <v>106</v>
      </c>
      <c r="F448" s="7">
        <f>IFERROR(VLOOKUP(E448,Margins!$A:$B,2,TRUE),"")</f>
        <v>0.15</v>
      </c>
      <c r="G448" s="7">
        <f t="shared" si="12"/>
        <v>15899.999999999998</v>
      </c>
      <c r="H448" t="s">
        <v>63</v>
      </c>
      <c r="I448">
        <v>1000</v>
      </c>
      <c r="J448">
        <f>IF(Table1[[#This Row],[Tickets Sold]]&gt;500,8,5)</f>
        <v>5</v>
      </c>
      <c r="K448">
        <v>500</v>
      </c>
      <c r="L448" t="str">
        <f>VLOOKUP(H448,Descriptions!A:B, 2, FALSE)</f>
        <v>Seating Cat. 2</v>
      </c>
      <c r="M448">
        <f t="shared" ca="1" si="13"/>
        <v>-2251</v>
      </c>
      <c r="O448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17-SC2Tur-Vie18/8</v>
      </c>
    </row>
    <row r="449" spans="1:15" x14ac:dyDescent="0.35">
      <c r="A449" t="s">
        <v>18</v>
      </c>
      <c r="B449" t="s">
        <v>2</v>
      </c>
      <c r="C449" s="1">
        <v>42965</v>
      </c>
      <c r="D449" t="s">
        <v>20</v>
      </c>
      <c r="E449" s="7">
        <v>161</v>
      </c>
      <c r="F449" s="7">
        <f>IFERROR(VLOOKUP(E449,Margins!$A:$B,2,TRUE),"")</f>
        <v>0.15</v>
      </c>
      <c r="G449" s="7">
        <f t="shared" si="12"/>
        <v>12075</v>
      </c>
      <c r="H449" t="s">
        <v>64</v>
      </c>
      <c r="I449">
        <v>500</v>
      </c>
      <c r="J449">
        <f>IF(Table1[[#This Row],[Tickets Sold]]&gt;500,8,5)</f>
        <v>5</v>
      </c>
      <c r="K449">
        <v>270</v>
      </c>
      <c r="L449" t="str">
        <f>VLOOKUP(H449,Descriptions!A:B, 2, FALSE)</f>
        <v>Seating Cat. 3</v>
      </c>
      <c r="M449">
        <f t="shared" ca="1" si="13"/>
        <v>-2251</v>
      </c>
      <c r="O449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17-SC3Tur-Vie18/8</v>
      </c>
    </row>
    <row r="450" spans="1:15" x14ac:dyDescent="0.35">
      <c r="A450" t="s">
        <v>18</v>
      </c>
      <c r="B450" t="s">
        <v>2</v>
      </c>
      <c r="C450" s="1">
        <v>42965</v>
      </c>
      <c r="D450" t="s">
        <v>20</v>
      </c>
      <c r="E450" s="7">
        <v>238</v>
      </c>
      <c r="F450" s="7">
        <f>IFERROR(VLOOKUP(E450,Margins!$A:$B,2,TRUE),"")</f>
        <v>0.25</v>
      </c>
      <c r="G450" s="7">
        <f t="shared" ref="G450:G493" si="14">IFERROR(E450*F450*I450,"")</f>
        <v>23800</v>
      </c>
      <c r="H450" t="s">
        <v>65</v>
      </c>
      <c r="I450">
        <v>400</v>
      </c>
      <c r="J450">
        <f>IF(Table1[[#This Row],[Tickets Sold]]&gt;500,8,5)</f>
        <v>5</v>
      </c>
      <c r="K450">
        <v>332</v>
      </c>
      <c r="L450" t="str">
        <f>VLOOKUP(H450,Descriptions!A:B, 2, FALSE)</f>
        <v>Ticket + Air travel Package</v>
      </c>
      <c r="M450">
        <f t="shared" ref="M450:M493" ca="1" si="15">NETWORKDAYS(TODAY(), C450-1)</f>
        <v>-2251</v>
      </c>
      <c r="O450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17-TA1Tur-Vie18/8</v>
      </c>
    </row>
    <row r="451" spans="1:15" x14ac:dyDescent="0.35">
      <c r="A451" t="s">
        <v>18</v>
      </c>
      <c r="B451" t="s">
        <v>2</v>
      </c>
      <c r="C451" s="1">
        <v>42965</v>
      </c>
      <c r="D451" t="s">
        <v>20</v>
      </c>
      <c r="E451" s="7">
        <v>10</v>
      </c>
      <c r="F451" s="7">
        <f>IFERROR(VLOOKUP(E451,Margins!$A:$B,2,TRUE),"")</f>
        <v>7.0000000000000007E-2</v>
      </c>
      <c r="G451" s="7">
        <f t="shared" si="14"/>
        <v>31.500000000000004</v>
      </c>
      <c r="H451" t="s">
        <v>11</v>
      </c>
      <c r="I451">
        <v>45</v>
      </c>
      <c r="J451">
        <f>IF(Table1[[#This Row],[Tickets Sold]]&gt;500,8,5)</f>
        <v>5</v>
      </c>
      <c r="K451">
        <v>38</v>
      </c>
      <c r="L451" t="str">
        <f>VLOOKUP(H451,Descriptions!A:B, 2, FALSE)</f>
        <v>Parking place</v>
      </c>
      <c r="M451">
        <f t="shared" ca="1" si="15"/>
        <v>-2251</v>
      </c>
      <c r="O451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17-POSTur-Vie18/8</v>
      </c>
    </row>
    <row r="452" spans="1:15" x14ac:dyDescent="0.35">
      <c r="A452" t="s">
        <v>18</v>
      </c>
      <c r="B452" t="s">
        <v>2</v>
      </c>
      <c r="C452" s="1">
        <v>42965</v>
      </c>
      <c r="D452" t="s">
        <v>20</v>
      </c>
      <c r="E452" s="7">
        <v>391</v>
      </c>
      <c r="F452" s="7">
        <f>IFERROR(VLOOKUP(E452,Margins!$A:$B,2,TRUE),"")</f>
        <v>0.25</v>
      </c>
      <c r="G452" s="7">
        <f t="shared" si="14"/>
        <v>29325</v>
      </c>
      <c r="H452" t="s">
        <v>66</v>
      </c>
      <c r="I452">
        <v>300</v>
      </c>
      <c r="J452">
        <f>IF(Table1[[#This Row],[Tickets Sold]]&gt;500,8,5)</f>
        <v>5</v>
      </c>
      <c r="K452">
        <v>201</v>
      </c>
      <c r="L452" t="str">
        <f>VLOOKUP(H452,Descriptions!A:B, 2, FALSE)</f>
        <v>Ticket + Air travel + Hotel Package</v>
      </c>
      <c r="M452">
        <f t="shared" ca="1" si="15"/>
        <v>-2251</v>
      </c>
      <c r="O452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17-TA2Tur-Vie18/8</v>
      </c>
    </row>
    <row r="453" spans="1:15" x14ac:dyDescent="0.35">
      <c r="A453" t="s">
        <v>18</v>
      </c>
      <c r="B453" t="s">
        <v>51</v>
      </c>
      <c r="C453" s="1">
        <v>42968</v>
      </c>
      <c r="D453" t="s">
        <v>20</v>
      </c>
      <c r="E453" s="7">
        <v>48</v>
      </c>
      <c r="F453" s="7">
        <f>IFERROR(VLOOKUP(E453,Margins!$A:$B,2,TRUE),"")</f>
        <v>7.0000000000000007E-2</v>
      </c>
      <c r="G453" s="7">
        <f t="shared" si="14"/>
        <v>6720.0000000000009</v>
      </c>
      <c r="H453" t="s">
        <v>62</v>
      </c>
      <c r="I453">
        <v>2000</v>
      </c>
      <c r="J453">
        <f>IF(Table1[[#This Row],[Tickets Sold]]&gt;500,8,5)</f>
        <v>8</v>
      </c>
      <c r="K453">
        <v>1720</v>
      </c>
      <c r="L453" t="str">
        <f>VLOOKUP(H453,Descriptions!A:B, 2, FALSE)</f>
        <v>Seating Cat. 1</v>
      </c>
      <c r="M453">
        <f t="shared" ca="1" si="15"/>
        <v>-2249</v>
      </c>
      <c r="O453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17-SC1Tur-Bar21/8</v>
      </c>
    </row>
    <row r="454" spans="1:15" x14ac:dyDescent="0.35">
      <c r="A454" t="s">
        <v>18</v>
      </c>
      <c r="B454" t="s">
        <v>51</v>
      </c>
      <c r="C454" s="1">
        <v>42968</v>
      </c>
      <c r="D454" t="s">
        <v>20</v>
      </c>
      <c r="E454" s="7">
        <v>72</v>
      </c>
      <c r="F454" s="7">
        <f>IFERROR(VLOOKUP(E454,Margins!$A:$B,2,TRUE),"")</f>
        <v>0.1</v>
      </c>
      <c r="G454" s="7">
        <f t="shared" si="14"/>
        <v>2880</v>
      </c>
      <c r="H454" t="s">
        <v>63</v>
      </c>
      <c r="I454">
        <v>400</v>
      </c>
      <c r="J454">
        <f>IF(Table1[[#This Row],[Tickets Sold]]&gt;500,8,5)</f>
        <v>5</v>
      </c>
      <c r="K454">
        <v>272</v>
      </c>
      <c r="L454" t="str">
        <f>VLOOKUP(H454,Descriptions!A:B, 2, FALSE)</f>
        <v>Seating Cat. 2</v>
      </c>
      <c r="M454">
        <f t="shared" ca="1" si="15"/>
        <v>-2249</v>
      </c>
      <c r="O454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17-SC2Tur-Bar21/8</v>
      </c>
    </row>
    <row r="455" spans="1:15" x14ac:dyDescent="0.35">
      <c r="A455" t="s">
        <v>18</v>
      </c>
      <c r="B455" t="s">
        <v>51</v>
      </c>
      <c r="C455" s="1">
        <v>42968</v>
      </c>
      <c r="D455" t="s">
        <v>20</v>
      </c>
      <c r="E455" s="7">
        <v>193</v>
      </c>
      <c r="F455" s="7">
        <f>IFERROR(VLOOKUP(E455,Margins!$A:$B,2,TRUE),"")</f>
        <v>0.15</v>
      </c>
      <c r="G455" s="7">
        <f t="shared" si="14"/>
        <v>7237.5</v>
      </c>
      <c r="H455" t="s">
        <v>64</v>
      </c>
      <c r="I455">
        <v>250</v>
      </c>
      <c r="J455">
        <f>IF(Table1[[#This Row],[Tickets Sold]]&gt;500,8,5)</f>
        <v>5</v>
      </c>
      <c r="K455">
        <v>213</v>
      </c>
      <c r="L455" t="str">
        <f>VLOOKUP(H455,Descriptions!A:B, 2, FALSE)</f>
        <v>Seating Cat. 3</v>
      </c>
      <c r="M455">
        <f t="shared" ca="1" si="15"/>
        <v>-2249</v>
      </c>
      <c r="O455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17-SC3Tur-Bar21/8</v>
      </c>
    </row>
    <row r="456" spans="1:15" x14ac:dyDescent="0.35">
      <c r="A456" t="s">
        <v>18</v>
      </c>
      <c r="B456" t="s">
        <v>51</v>
      </c>
      <c r="C456" s="1">
        <v>42968</v>
      </c>
      <c r="D456" t="s">
        <v>20</v>
      </c>
      <c r="E456" s="7">
        <v>269</v>
      </c>
      <c r="F456" s="7">
        <f>IFERROR(VLOOKUP(E456,Margins!$A:$B,2,TRUE),"")</f>
        <v>0.25</v>
      </c>
      <c r="G456" s="7">
        <f t="shared" si="14"/>
        <v>26900</v>
      </c>
      <c r="H456" t="s">
        <v>65</v>
      </c>
      <c r="I456">
        <v>400</v>
      </c>
      <c r="J456">
        <f>IF(Table1[[#This Row],[Tickets Sold]]&gt;500,8,5)</f>
        <v>5</v>
      </c>
      <c r="K456">
        <v>328</v>
      </c>
      <c r="L456" t="str">
        <f>VLOOKUP(H456,Descriptions!A:B, 2, FALSE)</f>
        <v>Ticket + Air travel Package</v>
      </c>
      <c r="M456">
        <f t="shared" ca="1" si="15"/>
        <v>-2249</v>
      </c>
      <c r="O456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17-TA1Tur-Bar21/8</v>
      </c>
    </row>
    <row r="457" spans="1:15" x14ac:dyDescent="0.35">
      <c r="A457" t="s">
        <v>18</v>
      </c>
      <c r="B457" t="s">
        <v>51</v>
      </c>
      <c r="C457" s="1">
        <v>42968</v>
      </c>
      <c r="D457" t="s">
        <v>20</v>
      </c>
      <c r="E457" s="7">
        <v>32</v>
      </c>
      <c r="F457" s="7">
        <f>IFERROR(VLOOKUP(E457,Margins!$A:$B,2,TRUE),"")</f>
        <v>7.0000000000000007E-2</v>
      </c>
      <c r="G457" s="7">
        <f t="shared" si="14"/>
        <v>112.00000000000001</v>
      </c>
      <c r="H457" t="s">
        <v>11</v>
      </c>
      <c r="I457">
        <v>50</v>
      </c>
      <c r="J457">
        <f>IF(Table1[[#This Row],[Tickets Sold]]&gt;500,8,5)</f>
        <v>5</v>
      </c>
      <c r="K457">
        <v>32</v>
      </c>
      <c r="L457" t="str">
        <f>VLOOKUP(H457,Descriptions!A:B, 2, FALSE)</f>
        <v>Parking place</v>
      </c>
      <c r="M457">
        <f t="shared" ca="1" si="15"/>
        <v>-2249</v>
      </c>
      <c r="O457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17-POSTur-Bar21/8</v>
      </c>
    </row>
    <row r="458" spans="1:15" x14ac:dyDescent="0.35">
      <c r="A458" t="s">
        <v>18</v>
      </c>
      <c r="B458" t="s">
        <v>51</v>
      </c>
      <c r="C458" s="1">
        <v>42968</v>
      </c>
      <c r="D458" t="s">
        <v>20</v>
      </c>
      <c r="E458" s="7">
        <v>350</v>
      </c>
      <c r="F458" s="7">
        <f>IFERROR(VLOOKUP(E458,Margins!$A:$B,2,TRUE),"")</f>
        <v>0.25</v>
      </c>
      <c r="G458" s="7">
        <f t="shared" si="14"/>
        <v>17500</v>
      </c>
      <c r="H458" t="s">
        <v>66</v>
      </c>
      <c r="I458">
        <v>200</v>
      </c>
      <c r="J458">
        <f>IF(Table1[[#This Row],[Tickets Sold]]&gt;500,8,5)</f>
        <v>5</v>
      </c>
      <c r="K458">
        <v>182</v>
      </c>
      <c r="L458" t="str">
        <f>VLOOKUP(H458,Descriptions!A:B, 2, FALSE)</f>
        <v>Ticket + Air travel + Hotel Package</v>
      </c>
      <c r="M458">
        <f t="shared" ca="1" si="15"/>
        <v>-2249</v>
      </c>
      <c r="O458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17-TA2Tur-Bar21/8</v>
      </c>
    </row>
    <row r="459" spans="1:15" x14ac:dyDescent="0.35">
      <c r="A459" t="s">
        <v>4</v>
      </c>
      <c r="B459" t="s">
        <v>5</v>
      </c>
      <c r="C459" s="1">
        <v>42890</v>
      </c>
      <c r="D459" t="s">
        <v>3</v>
      </c>
      <c r="E459" s="7">
        <v>76</v>
      </c>
      <c r="F459" s="7">
        <f>IFERROR(VLOOKUP(E459,Margins!$A:$B,2,TRUE),"")</f>
        <v>0.1</v>
      </c>
      <c r="G459" s="7">
        <f t="shared" si="14"/>
        <v>6004</v>
      </c>
      <c r="H459" t="s">
        <v>62</v>
      </c>
      <c r="I459">
        <v>790</v>
      </c>
      <c r="J459">
        <f>IF(Table1[[#This Row],[Tickets Sold]]&gt;500,8,5)</f>
        <v>5</v>
      </c>
      <c r="K459">
        <v>443</v>
      </c>
      <c r="L459" t="str">
        <f>VLOOKUP(H459,Descriptions!A:B, 2, FALSE)</f>
        <v>Seating Cat. 1</v>
      </c>
      <c r="M459">
        <f t="shared" ca="1" si="15"/>
        <v>-2304</v>
      </c>
      <c r="O459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17-SC1We -Mad4/6</v>
      </c>
    </row>
    <row r="460" spans="1:15" x14ac:dyDescent="0.35">
      <c r="A460" t="s">
        <v>4</v>
      </c>
      <c r="B460" t="s">
        <v>5</v>
      </c>
      <c r="C460" s="1">
        <v>42890</v>
      </c>
      <c r="D460" t="s">
        <v>3</v>
      </c>
      <c r="E460" s="7">
        <v>74</v>
      </c>
      <c r="F460" s="7">
        <f>IFERROR(VLOOKUP(E460,Margins!$A:$B,2,TRUE),"")</f>
        <v>0.1</v>
      </c>
      <c r="G460" s="7">
        <f t="shared" si="14"/>
        <v>3330</v>
      </c>
      <c r="H460" t="s">
        <v>63</v>
      </c>
      <c r="I460">
        <v>450</v>
      </c>
      <c r="J460">
        <f>IF(Table1[[#This Row],[Tickets Sold]]&gt;500,8,5)</f>
        <v>5</v>
      </c>
      <c r="K460">
        <v>284</v>
      </c>
      <c r="L460" t="str">
        <f>VLOOKUP(H460,Descriptions!A:B, 2, FALSE)</f>
        <v>Seating Cat. 2</v>
      </c>
      <c r="M460">
        <f t="shared" ca="1" si="15"/>
        <v>-2304</v>
      </c>
      <c r="O460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17-SC2We -Mad4/6</v>
      </c>
    </row>
    <row r="461" spans="1:15" x14ac:dyDescent="0.35">
      <c r="A461" t="s">
        <v>4</v>
      </c>
      <c r="B461" t="s">
        <v>5</v>
      </c>
      <c r="C461" s="1">
        <v>42890</v>
      </c>
      <c r="D461" t="s">
        <v>3</v>
      </c>
      <c r="E461" s="7">
        <v>118</v>
      </c>
      <c r="F461" s="7">
        <f>IFERROR(VLOOKUP(E461,Margins!$A:$B,2,TRUE),"")</f>
        <v>0.15</v>
      </c>
      <c r="G461" s="7">
        <f t="shared" si="14"/>
        <v>4956</v>
      </c>
      <c r="H461" t="s">
        <v>64</v>
      </c>
      <c r="I461">
        <v>280</v>
      </c>
      <c r="J461">
        <f>IF(Table1[[#This Row],[Tickets Sold]]&gt;500,8,5)</f>
        <v>5</v>
      </c>
      <c r="K461">
        <v>210</v>
      </c>
      <c r="L461" t="str">
        <f>VLOOKUP(H461,Descriptions!A:B, 2, FALSE)</f>
        <v>Seating Cat. 3</v>
      </c>
      <c r="M461">
        <f t="shared" ca="1" si="15"/>
        <v>-2304</v>
      </c>
      <c r="O461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17-SC3We -Mad4/6</v>
      </c>
    </row>
    <row r="462" spans="1:15" x14ac:dyDescent="0.35">
      <c r="A462" t="s">
        <v>4</v>
      </c>
      <c r="B462" t="s">
        <v>5</v>
      </c>
      <c r="C462" s="1">
        <v>42890</v>
      </c>
      <c r="D462" t="s">
        <v>3</v>
      </c>
      <c r="E462" s="7">
        <v>277</v>
      </c>
      <c r="F462" s="7">
        <f>IFERROR(VLOOKUP(E462,Margins!$A:$B,2,TRUE),"")</f>
        <v>0.25</v>
      </c>
      <c r="G462" s="7">
        <f t="shared" si="14"/>
        <v>20775</v>
      </c>
      <c r="H462" t="s">
        <v>65</v>
      </c>
      <c r="I462">
        <v>300</v>
      </c>
      <c r="J462">
        <f>IF(Table1[[#This Row],[Tickets Sold]]&gt;500,8,5)</f>
        <v>5</v>
      </c>
      <c r="K462">
        <v>258</v>
      </c>
      <c r="L462" t="str">
        <f>VLOOKUP(H462,Descriptions!A:B, 2, FALSE)</f>
        <v>Ticket + Air travel Package</v>
      </c>
      <c r="M462">
        <f t="shared" ca="1" si="15"/>
        <v>-2304</v>
      </c>
      <c r="O462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17-TA1We -Mad4/6</v>
      </c>
    </row>
    <row r="463" spans="1:15" x14ac:dyDescent="0.35">
      <c r="A463" t="s">
        <v>4</v>
      </c>
      <c r="B463" t="s">
        <v>5</v>
      </c>
      <c r="C463" s="1">
        <v>42890</v>
      </c>
      <c r="D463" t="s">
        <v>3</v>
      </c>
      <c r="E463" s="7">
        <v>331</v>
      </c>
      <c r="F463" s="7">
        <f>IFERROR(VLOOKUP(E463,Margins!$A:$B,2,TRUE),"")</f>
        <v>0.25</v>
      </c>
      <c r="G463" s="7">
        <f t="shared" si="14"/>
        <v>24825</v>
      </c>
      <c r="H463" t="s">
        <v>66</v>
      </c>
      <c r="I463">
        <v>300</v>
      </c>
      <c r="J463">
        <f>IF(Table1[[#This Row],[Tickets Sold]]&gt;500,8,5)</f>
        <v>5</v>
      </c>
      <c r="K463">
        <v>192</v>
      </c>
      <c r="L463" t="str">
        <f>VLOOKUP(H463,Descriptions!A:B, 2, FALSE)</f>
        <v>Ticket + Air travel + Hotel Package</v>
      </c>
      <c r="M463">
        <f t="shared" ca="1" si="15"/>
        <v>-2304</v>
      </c>
      <c r="O463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17-TA2We -Mad4/6</v>
      </c>
    </row>
    <row r="464" spans="1:15" x14ac:dyDescent="0.35">
      <c r="A464" t="s">
        <v>4</v>
      </c>
      <c r="B464" t="s">
        <v>52</v>
      </c>
      <c r="C464" s="1">
        <v>42894</v>
      </c>
      <c r="D464" t="s">
        <v>3</v>
      </c>
      <c r="E464" s="7">
        <v>61</v>
      </c>
      <c r="F464" s="7">
        <f>IFERROR(VLOOKUP(E464,Margins!$A:$B,2,TRUE),"")</f>
        <v>0.1</v>
      </c>
      <c r="G464" s="7">
        <f t="shared" si="14"/>
        <v>4758</v>
      </c>
      <c r="H464" t="s">
        <v>62</v>
      </c>
      <c r="I464">
        <v>780</v>
      </c>
      <c r="J464">
        <f>IF(Table1[[#This Row],[Tickets Sold]]&gt;500,8,5)</f>
        <v>5</v>
      </c>
      <c r="K464">
        <v>484</v>
      </c>
      <c r="L464" t="str">
        <f>VLOOKUP(H464,Descriptions!A:B, 2, FALSE)</f>
        <v>Seating Cat. 1</v>
      </c>
      <c r="M464">
        <f t="shared" ca="1" si="15"/>
        <v>-2302</v>
      </c>
      <c r="O464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17-SC1We -Lon8/6</v>
      </c>
    </row>
    <row r="465" spans="1:15" x14ac:dyDescent="0.35">
      <c r="A465" t="s">
        <v>4</v>
      </c>
      <c r="B465" t="s">
        <v>52</v>
      </c>
      <c r="C465" s="1">
        <v>42894</v>
      </c>
      <c r="D465" t="s">
        <v>3</v>
      </c>
      <c r="E465" s="7">
        <v>104</v>
      </c>
      <c r="F465" s="7">
        <f>IFERROR(VLOOKUP(E465,Margins!$A:$B,2,TRUE),"")</f>
        <v>0.15</v>
      </c>
      <c r="G465" s="7">
        <f t="shared" si="14"/>
        <v>10171.199999999999</v>
      </c>
      <c r="H465" t="s">
        <v>63</v>
      </c>
      <c r="I465">
        <v>652</v>
      </c>
      <c r="J465">
        <f>IF(Table1[[#This Row],[Tickets Sold]]&gt;500,8,5)</f>
        <v>8</v>
      </c>
      <c r="K465">
        <v>535</v>
      </c>
      <c r="L465" t="str">
        <f>VLOOKUP(H465,Descriptions!A:B, 2, FALSE)</f>
        <v>Seating Cat. 2</v>
      </c>
      <c r="M465">
        <f t="shared" ca="1" si="15"/>
        <v>-2302</v>
      </c>
      <c r="O465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17-SC2We -Lon8/6</v>
      </c>
    </row>
    <row r="466" spans="1:15" x14ac:dyDescent="0.35">
      <c r="A466" t="s">
        <v>4</v>
      </c>
      <c r="B466" t="s">
        <v>52</v>
      </c>
      <c r="C466" s="1">
        <v>42894</v>
      </c>
      <c r="D466" t="s">
        <v>3</v>
      </c>
      <c r="E466" s="7">
        <v>185</v>
      </c>
      <c r="F466" s="7">
        <f>IFERROR(VLOOKUP(E466,Margins!$A:$B,2,TRUE),"")</f>
        <v>0.15</v>
      </c>
      <c r="G466" s="7">
        <f t="shared" si="14"/>
        <v>9573.75</v>
      </c>
      <c r="H466" t="s">
        <v>64</v>
      </c>
      <c r="I466">
        <v>345</v>
      </c>
      <c r="J466">
        <f>IF(Table1[[#This Row],[Tickets Sold]]&gt;500,8,5)</f>
        <v>5</v>
      </c>
      <c r="K466">
        <v>287</v>
      </c>
      <c r="L466" t="str">
        <f>VLOOKUP(H466,Descriptions!A:B, 2, FALSE)</f>
        <v>Seating Cat. 3</v>
      </c>
      <c r="M466">
        <f t="shared" ca="1" si="15"/>
        <v>-2302</v>
      </c>
      <c r="O466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17-SC3We -Lon8/6</v>
      </c>
    </row>
    <row r="467" spans="1:15" x14ac:dyDescent="0.35">
      <c r="A467" t="s">
        <v>4</v>
      </c>
      <c r="B467" t="s">
        <v>52</v>
      </c>
      <c r="C467" s="1">
        <v>42894</v>
      </c>
      <c r="D467" t="s">
        <v>3</v>
      </c>
      <c r="E467" s="7">
        <v>231</v>
      </c>
      <c r="F467" s="7">
        <f>IFERROR(VLOOKUP(E467,Margins!$A:$B,2,TRUE),"")</f>
        <v>0.25</v>
      </c>
      <c r="G467" s="7">
        <f t="shared" si="14"/>
        <v>23100</v>
      </c>
      <c r="H467" t="s">
        <v>65</v>
      </c>
      <c r="I467">
        <v>400</v>
      </c>
      <c r="J467">
        <f>IF(Table1[[#This Row],[Tickets Sold]]&gt;500,8,5)</f>
        <v>5</v>
      </c>
      <c r="K467">
        <v>236</v>
      </c>
      <c r="L467" t="str">
        <f>VLOOKUP(H467,Descriptions!A:B, 2, FALSE)</f>
        <v>Ticket + Air travel Package</v>
      </c>
      <c r="M467">
        <f t="shared" ca="1" si="15"/>
        <v>-2302</v>
      </c>
      <c r="O467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17-TA1We -Lon8/6</v>
      </c>
    </row>
    <row r="468" spans="1:15" x14ac:dyDescent="0.35">
      <c r="A468" t="s">
        <v>4</v>
      </c>
      <c r="B468" t="s">
        <v>52</v>
      </c>
      <c r="C468" s="1">
        <v>42894</v>
      </c>
      <c r="D468" t="s">
        <v>3</v>
      </c>
      <c r="E468" s="7">
        <v>353</v>
      </c>
      <c r="F468" s="7">
        <f>IFERROR(VLOOKUP(E468,Margins!$A:$B,2,TRUE),"")</f>
        <v>0.25</v>
      </c>
      <c r="G468" s="7">
        <f t="shared" si="14"/>
        <v>26475</v>
      </c>
      <c r="H468" t="s">
        <v>66</v>
      </c>
      <c r="I468">
        <v>300</v>
      </c>
      <c r="J468">
        <f>IF(Table1[[#This Row],[Tickets Sold]]&gt;500,8,5)</f>
        <v>5</v>
      </c>
      <c r="K468">
        <v>249</v>
      </c>
      <c r="L468" t="str">
        <f>VLOOKUP(H468,Descriptions!A:B, 2, FALSE)</f>
        <v>Ticket + Air travel + Hotel Package</v>
      </c>
      <c r="M468">
        <f t="shared" ca="1" si="15"/>
        <v>-2302</v>
      </c>
      <c r="O468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17-TA2We -Lon8/6</v>
      </c>
    </row>
    <row r="469" spans="1:15" x14ac:dyDescent="0.35">
      <c r="A469" t="s">
        <v>4</v>
      </c>
      <c r="B469" t="s">
        <v>5</v>
      </c>
      <c r="C469" s="1">
        <v>42908</v>
      </c>
      <c r="D469" t="s">
        <v>3</v>
      </c>
      <c r="E469" s="7">
        <v>37</v>
      </c>
      <c r="F469" s="7">
        <f>IFERROR(VLOOKUP(E469,Margins!$A:$B,2,TRUE),"")</f>
        <v>7.0000000000000007E-2</v>
      </c>
      <c r="G469" s="7">
        <f t="shared" si="14"/>
        <v>2564.1000000000004</v>
      </c>
      <c r="H469" t="s">
        <v>62</v>
      </c>
      <c r="I469">
        <v>990</v>
      </c>
      <c r="J469">
        <f>IF(Table1[[#This Row],[Tickets Sold]]&gt;500,8,5)</f>
        <v>8</v>
      </c>
      <c r="K469">
        <v>565</v>
      </c>
      <c r="L469" t="str">
        <f>VLOOKUP(H469,Descriptions!A:B, 2, FALSE)</f>
        <v>Seating Cat. 1</v>
      </c>
      <c r="M469">
        <f t="shared" ca="1" si="15"/>
        <v>-2292</v>
      </c>
      <c r="O469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17-SC1We -Mad22/6</v>
      </c>
    </row>
    <row r="470" spans="1:15" x14ac:dyDescent="0.35">
      <c r="A470" t="s">
        <v>4</v>
      </c>
      <c r="B470" t="s">
        <v>5</v>
      </c>
      <c r="C470" s="1">
        <v>42908</v>
      </c>
      <c r="D470" t="s">
        <v>3</v>
      </c>
      <c r="E470" s="7">
        <v>90</v>
      </c>
      <c r="F470" s="7">
        <f>IFERROR(VLOOKUP(E470,Margins!$A:$B,2,TRUE),"")</f>
        <v>0.1</v>
      </c>
      <c r="G470" s="7">
        <f t="shared" si="14"/>
        <v>4500</v>
      </c>
      <c r="H470" t="s">
        <v>63</v>
      </c>
      <c r="I470">
        <v>500</v>
      </c>
      <c r="J470">
        <f>IF(Table1[[#This Row],[Tickets Sold]]&gt;500,8,5)</f>
        <v>5</v>
      </c>
      <c r="K470">
        <v>280</v>
      </c>
      <c r="L470" t="str">
        <f>VLOOKUP(H470,Descriptions!A:B, 2, FALSE)</f>
        <v>Seating Cat. 2</v>
      </c>
      <c r="M470">
        <f t="shared" ca="1" si="15"/>
        <v>-2292</v>
      </c>
      <c r="O470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17-SC2We -Mad22/6</v>
      </c>
    </row>
    <row r="471" spans="1:15" x14ac:dyDescent="0.35">
      <c r="A471" t="s">
        <v>4</v>
      </c>
      <c r="B471" t="s">
        <v>5</v>
      </c>
      <c r="C471" s="1">
        <v>42908</v>
      </c>
      <c r="D471" t="s">
        <v>3</v>
      </c>
      <c r="E471" s="7">
        <v>184</v>
      </c>
      <c r="F471" s="7">
        <f>IFERROR(VLOOKUP(E471,Margins!$A:$B,2,TRUE),"")</f>
        <v>0.15</v>
      </c>
      <c r="G471" s="7">
        <f t="shared" si="14"/>
        <v>5520</v>
      </c>
      <c r="H471" t="s">
        <v>64</v>
      </c>
      <c r="I471">
        <v>200</v>
      </c>
      <c r="J471">
        <f>IF(Table1[[#This Row],[Tickets Sold]]&gt;500,8,5)</f>
        <v>5</v>
      </c>
      <c r="K471">
        <v>102</v>
      </c>
      <c r="L471" t="str">
        <f>VLOOKUP(H471,Descriptions!A:B, 2, FALSE)</f>
        <v>Seating Cat. 3</v>
      </c>
      <c r="M471">
        <f t="shared" ca="1" si="15"/>
        <v>-2292</v>
      </c>
      <c r="O471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17-SC3We -Mad22/6</v>
      </c>
    </row>
    <row r="472" spans="1:15" x14ac:dyDescent="0.35">
      <c r="A472" t="s">
        <v>4</v>
      </c>
      <c r="B472" t="s">
        <v>5</v>
      </c>
      <c r="C472" s="1">
        <v>42908</v>
      </c>
      <c r="D472" t="s">
        <v>3</v>
      </c>
      <c r="E472" s="7">
        <v>283</v>
      </c>
      <c r="F472" s="7">
        <f>IFERROR(VLOOKUP(E472,Margins!$A:$B,2,TRUE),"")</f>
        <v>0.25</v>
      </c>
      <c r="G472" s="7">
        <f t="shared" si="14"/>
        <v>14150</v>
      </c>
      <c r="H472" t="s">
        <v>65</v>
      </c>
      <c r="I472">
        <v>200</v>
      </c>
      <c r="J472">
        <f>IF(Table1[[#This Row],[Tickets Sold]]&gt;500,8,5)</f>
        <v>5</v>
      </c>
      <c r="K472">
        <v>180</v>
      </c>
      <c r="L472" t="str">
        <f>VLOOKUP(H472,Descriptions!A:B, 2, FALSE)</f>
        <v>Ticket + Air travel Package</v>
      </c>
      <c r="M472">
        <f t="shared" ca="1" si="15"/>
        <v>-2292</v>
      </c>
      <c r="O472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17-TA1We -Mad22/6</v>
      </c>
    </row>
    <row r="473" spans="1:15" x14ac:dyDescent="0.35">
      <c r="A473" t="s">
        <v>4</v>
      </c>
      <c r="B473" t="s">
        <v>5</v>
      </c>
      <c r="C473" s="1">
        <v>42908</v>
      </c>
      <c r="D473" t="s">
        <v>3</v>
      </c>
      <c r="E473" s="7">
        <v>386</v>
      </c>
      <c r="F473" s="7">
        <f>IFERROR(VLOOKUP(E473,Margins!$A:$B,2,TRUE),"")</f>
        <v>0.25</v>
      </c>
      <c r="G473" s="7">
        <f t="shared" si="14"/>
        <v>38600</v>
      </c>
      <c r="H473" t="s">
        <v>66</v>
      </c>
      <c r="I473">
        <v>400</v>
      </c>
      <c r="J473">
        <f>IF(Table1[[#This Row],[Tickets Sold]]&gt;500,8,5)</f>
        <v>5</v>
      </c>
      <c r="K473">
        <v>288</v>
      </c>
      <c r="L473" t="str">
        <f>VLOOKUP(H473,Descriptions!A:B, 2, FALSE)</f>
        <v>Ticket + Air travel + Hotel Package</v>
      </c>
      <c r="M473">
        <f t="shared" ca="1" si="15"/>
        <v>-2292</v>
      </c>
      <c r="O473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17-TA2We -Mad22/6</v>
      </c>
    </row>
    <row r="474" spans="1:15" x14ac:dyDescent="0.35">
      <c r="A474" t="s">
        <v>4</v>
      </c>
      <c r="B474" t="s">
        <v>52</v>
      </c>
      <c r="C474" s="1">
        <v>42912</v>
      </c>
      <c r="D474" t="s">
        <v>3</v>
      </c>
      <c r="E474" s="7">
        <v>51</v>
      </c>
      <c r="F474" s="7">
        <f>IFERROR(VLOOKUP(E474,Margins!$A:$B,2,TRUE),"")</f>
        <v>0.1</v>
      </c>
      <c r="G474" s="7">
        <f t="shared" si="14"/>
        <v>3978.0000000000005</v>
      </c>
      <c r="H474" t="s">
        <v>62</v>
      </c>
      <c r="I474">
        <v>780</v>
      </c>
      <c r="J474">
        <f>IF(Table1[[#This Row],[Tickets Sold]]&gt;500,8,5)</f>
        <v>8</v>
      </c>
      <c r="K474">
        <v>531</v>
      </c>
      <c r="L474" t="str">
        <f>VLOOKUP(H474,Descriptions!A:B, 2, FALSE)</f>
        <v>Seating Cat. 1</v>
      </c>
      <c r="M474">
        <f t="shared" ca="1" si="15"/>
        <v>-2289</v>
      </c>
      <c r="O474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17-SC1We -Lon26/6</v>
      </c>
    </row>
    <row r="475" spans="1:15" x14ac:dyDescent="0.35">
      <c r="A475" t="s">
        <v>4</v>
      </c>
      <c r="B475" t="s">
        <v>52</v>
      </c>
      <c r="C475" s="1">
        <v>42912</v>
      </c>
      <c r="D475" t="s">
        <v>3</v>
      </c>
      <c r="E475" s="7">
        <v>72</v>
      </c>
      <c r="F475" s="7">
        <f>IFERROR(VLOOKUP(E475,Margins!$A:$B,2,TRUE),"")</f>
        <v>0.1</v>
      </c>
      <c r="G475" s="7">
        <f t="shared" si="14"/>
        <v>4694.4000000000005</v>
      </c>
      <c r="H475" t="s">
        <v>63</v>
      </c>
      <c r="I475">
        <v>652</v>
      </c>
      <c r="J475">
        <f>IF(Table1[[#This Row],[Tickets Sold]]&gt;500,8,5)</f>
        <v>8</v>
      </c>
      <c r="K475">
        <v>503</v>
      </c>
      <c r="L475" t="str">
        <f>VLOOKUP(H475,Descriptions!A:B, 2, FALSE)</f>
        <v>Seating Cat. 2</v>
      </c>
      <c r="M475">
        <f t="shared" ca="1" si="15"/>
        <v>-2289</v>
      </c>
      <c r="O475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17-SC2We -Lon26/6</v>
      </c>
    </row>
    <row r="476" spans="1:15" x14ac:dyDescent="0.35">
      <c r="A476" t="s">
        <v>4</v>
      </c>
      <c r="B476" t="s">
        <v>52</v>
      </c>
      <c r="C476" s="1">
        <v>42912</v>
      </c>
      <c r="D476" t="s">
        <v>3</v>
      </c>
      <c r="E476" s="7">
        <v>139</v>
      </c>
      <c r="F476" s="7">
        <f>IFERROR(VLOOKUP(E476,Margins!$A:$B,2,TRUE),"")</f>
        <v>0.15</v>
      </c>
      <c r="G476" s="7">
        <f t="shared" si="14"/>
        <v>7193.2499999999991</v>
      </c>
      <c r="H476" t="s">
        <v>64</v>
      </c>
      <c r="I476">
        <v>345</v>
      </c>
      <c r="J476">
        <f>IF(Table1[[#This Row],[Tickets Sold]]&gt;500,8,5)</f>
        <v>5</v>
      </c>
      <c r="K476">
        <v>252</v>
      </c>
      <c r="L476" t="str">
        <f>VLOOKUP(H476,Descriptions!A:B, 2, FALSE)</f>
        <v>Seating Cat. 3</v>
      </c>
      <c r="M476">
        <f t="shared" ca="1" si="15"/>
        <v>-2289</v>
      </c>
      <c r="O476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17-SC3We -Lon26/6</v>
      </c>
    </row>
    <row r="477" spans="1:15" x14ac:dyDescent="0.35">
      <c r="A477" t="s">
        <v>4</v>
      </c>
      <c r="B477" t="s">
        <v>52</v>
      </c>
      <c r="C477" s="1">
        <v>42912</v>
      </c>
      <c r="D477" t="s">
        <v>3</v>
      </c>
      <c r="E477" s="7">
        <v>252</v>
      </c>
      <c r="F477" s="7">
        <f>IFERROR(VLOOKUP(E477,Margins!$A:$B,2,TRUE),"")</f>
        <v>0.25</v>
      </c>
      <c r="G477" s="7">
        <f t="shared" si="14"/>
        <v>18900</v>
      </c>
      <c r="H477" t="s">
        <v>65</v>
      </c>
      <c r="I477">
        <v>300</v>
      </c>
      <c r="J477">
        <f>IF(Table1[[#This Row],[Tickets Sold]]&gt;500,8,5)</f>
        <v>5</v>
      </c>
      <c r="K477">
        <v>216</v>
      </c>
      <c r="L477" t="str">
        <f>VLOOKUP(H477,Descriptions!A:B, 2, FALSE)</f>
        <v>Ticket + Air travel Package</v>
      </c>
      <c r="M477">
        <f t="shared" ca="1" si="15"/>
        <v>-2289</v>
      </c>
      <c r="O477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17-TA1We -Lon26/6</v>
      </c>
    </row>
    <row r="478" spans="1:15" x14ac:dyDescent="0.35">
      <c r="A478" t="s">
        <v>4</v>
      </c>
      <c r="B478" t="s">
        <v>52</v>
      </c>
      <c r="C478" s="1">
        <v>42912</v>
      </c>
      <c r="D478" t="s">
        <v>3</v>
      </c>
      <c r="E478" s="7">
        <v>332</v>
      </c>
      <c r="F478" s="7">
        <f>IFERROR(VLOOKUP(E478,Margins!$A:$B,2,TRUE),"")</f>
        <v>0.25</v>
      </c>
      <c r="G478" s="7">
        <f t="shared" si="14"/>
        <v>24900</v>
      </c>
      <c r="H478" t="s">
        <v>66</v>
      </c>
      <c r="I478">
        <v>300</v>
      </c>
      <c r="J478">
        <f>IF(Table1[[#This Row],[Tickets Sold]]&gt;500,8,5)</f>
        <v>5</v>
      </c>
      <c r="K478">
        <v>273</v>
      </c>
      <c r="L478" t="str">
        <f>VLOOKUP(H478,Descriptions!A:B, 2, FALSE)</f>
        <v>Ticket + Air travel + Hotel Package</v>
      </c>
      <c r="M478">
        <f t="shared" ca="1" si="15"/>
        <v>-2289</v>
      </c>
      <c r="O478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17-TA2We -Lon26/6</v>
      </c>
    </row>
    <row r="479" spans="1:15" x14ac:dyDescent="0.35">
      <c r="A479" t="s">
        <v>4</v>
      </c>
      <c r="B479" t="s">
        <v>52</v>
      </c>
      <c r="C479" s="1">
        <v>42914</v>
      </c>
      <c r="D479" t="s">
        <v>3</v>
      </c>
      <c r="E479" s="7">
        <v>79</v>
      </c>
      <c r="F479" s="7">
        <f>IFERROR(VLOOKUP(E479,Margins!$A:$B,2,TRUE),"")</f>
        <v>0.1</v>
      </c>
      <c r="G479" s="7">
        <f t="shared" si="14"/>
        <v>6162</v>
      </c>
      <c r="H479" t="s">
        <v>62</v>
      </c>
      <c r="I479">
        <v>780</v>
      </c>
      <c r="J479">
        <f>IF(Table1[[#This Row],[Tickets Sold]]&gt;500,8,5)</f>
        <v>8</v>
      </c>
      <c r="K479">
        <v>609</v>
      </c>
      <c r="L479" t="str">
        <f>VLOOKUP(H479,Descriptions!A:B, 2, FALSE)</f>
        <v>Seating Cat. 1</v>
      </c>
      <c r="M479">
        <f t="shared" ca="1" si="15"/>
        <v>-2288</v>
      </c>
      <c r="O479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17-SC1We -Lon28/6</v>
      </c>
    </row>
    <row r="480" spans="1:15" x14ac:dyDescent="0.35">
      <c r="A480" t="s">
        <v>4</v>
      </c>
      <c r="B480" t="s">
        <v>52</v>
      </c>
      <c r="C480" s="1">
        <v>42914</v>
      </c>
      <c r="D480" t="s">
        <v>3</v>
      </c>
      <c r="E480" s="7">
        <v>96</v>
      </c>
      <c r="F480" s="7">
        <f>IFERROR(VLOOKUP(E480,Margins!$A:$B,2,TRUE),"")</f>
        <v>0.1</v>
      </c>
      <c r="G480" s="7">
        <f t="shared" si="14"/>
        <v>6259.2000000000007</v>
      </c>
      <c r="H480" t="s">
        <v>63</v>
      </c>
      <c r="I480">
        <v>652</v>
      </c>
      <c r="J480">
        <f>IF(Table1[[#This Row],[Tickets Sold]]&gt;500,8,5)</f>
        <v>5</v>
      </c>
      <c r="K480">
        <v>326</v>
      </c>
      <c r="L480" t="str">
        <f>VLOOKUP(H480,Descriptions!A:B, 2, FALSE)</f>
        <v>Seating Cat. 2</v>
      </c>
      <c r="M480">
        <f t="shared" ca="1" si="15"/>
        <v>-2288</v>
      </c>
      <c r="O480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17-SC2We -Lon28/6</v>
      </c>
    </row>
    <row r="481" spans="1:15" x14ac:dyDescent="0.35">
      <c r="A481" t="s">
        <v>4</v>
      </c>
      <c r="B481" t="s">
        <v>52</v>
      </c>
      <c r="C481" s="1">
        <v>42914</v>
      </c>
      <c r="D481" t="s">
        <v>3</v>
      </c>
      <c r="E481" s="7">
        <v>173</v>
      </c>
      <c r="F481" s="7">
        <f>IFERROR(VLOOKUP(E481,Margins!$A:$B,2,TRUE),"")</f>
        <v>0.15</v>
      </c>
      <c r="G481" s="7">
        <f t="shared" si="14"/>
        <v>8952.75</v>
      </c>
      <c r="H481" t="s">
        <v>64</v>
      </c>
      <c r="I481">
        <v>345</v>
      </c>
      <c r="J481">
        <f>IF(Table1[[#This Row],[Tickets Sold]]&gt;500,8,5)</f>
        <v>5</v>
      </c>
      <c r="K481">
        <v>263</v>
      </c>
      <c r="L481" t="str">
        <f>VLOOKUP(H481,Descriptions!A:B, 2, FALSE)</f>
        <v>Seating Cat. 3</v>
      </c>
      <c r="M481">
        <f t="shared" ca="1" si="15"/>
        <v>-2288</v>
      </c>
      <c r="O481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17-SC3We -Lon28/6</v>
      </c>
    </row>
    <row r="482" spans="1:15" x14ac:dyDescent="0.35">
      <c r="A482" t="s">
        <v>4</v>
      </c>
      <c r="B482" t="s">
        <v>52</v>
      </c>
      <c r="C482" s="1">
        <v>42914</v>
      </c>
      <c r="D482" t="s">
        <v>3</v>
      </c>
      <c r="E482" s="7">
        <v>206</v>
      </c>
      <c r="F482" s="7">
        <f>IFERROR(VLOOKUP(E482,Margins!$A:$B,2,TRUE),"")</f>
        <v>0.25</v>
      </c>
      <c r="G482" s="7">
        <f t="shared" si="14"/>
        <v>15450</v>
      </c>
      <c r="H482" t="s">
        <v>65</v>
      </c>
      <c r="I482">
        <v>300</v>
      </c>
      <c r="J482">
        <f>IF(Table1[[#This Row],[Tickets Sold]]&gt;500,8,5)</f>
        <v>5</v>
      </c>
      <c r="K482">
        <v>210</v>
      </c>
      <c r="L482" t="str">
        <f>VLOOKUP(H482,Descriptions!A:B, 2, FALSE)</f>
        <v>Ticket + Air travel Package</v>
      </c>
      <c r="M482">
        <f t="shared" ca="1" si="15"/>
        <v>-2288</v>
      </c>
      <c r="O482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17-TA1We -Lon28/6</v>
      </c>
    </row>
    <row r="483" spans="1:15" x14ac:dyDescent="0.35">
      <c r="A483" t="s">
        <v>4</v>
      </c>
      <c r="B483" t="s">
        <v>52</v>
      </c>
      <c r="C483" s="1">
        <v>42914</v>
      </c>
      <c r="D483" t="s">
        <v>3</v>
      </c>
      <c r="E483" s="7">
        <v>372</v>
      </c>
      <c r="F483" s="7">
        <f>IFERROR(VLOOKUP(E483,Margins!$A:$B,2,TRUE),"")</f>
        <v>0.25</v>
      </c>
      <c r="G483" s="7">
        <f t="shared" si="14"/>
        <v>18600</v>
      </c>
      <c r="H483" t="s">
        <v>66</v>
      </c>
      <c r="I483">
        <v>200</v>
      </c>
      <c r="J483">
        <f>IF(Table1[[#This Row],[Tickets Sold]]&gt;500,8,5)</f>
        <v>5</v>
      </c>
      <c r="K483">
        <v>176</v>
      </c>
      <c r="L483" t="str">
        <f>VLOOKUP(H483,Descriptions!A:B, 2, FALSE)</f>
        <v>Ticket + Air travel + Hotel Package</v>
      </c>
      <c r="M483">
        <f t="shared" ca="1" si="15"/>
        <v>-2288</v>
      </c>
      <c r="O483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17-TA2We -Lon28/6</v>
      </c>
    </row>
    <row r="484" spans="1:15" x14ac:dyDescent="0.35">
      <c r="A484" t="s">
        <v>4</v>
      </c>
      <c r="B484" t="s">
        <v>48</v>
      </c>
      <c r="C484" s="1">
        <v>42918</v>
      </c>
      <c r="D484" t="s">
        <v>3</v>
      </c>
      <c r="E484" s="7">
        <v>54</v>
      </c>
      <c r="F484" s="7">
        <f>IFERROR(VLOOKUP(E484,Margins!$A:$B,2,TRUE),"")</f>
        <v>0.1</v>
      </c>
      <c r="G484" s="7">
        <f t="shared" si="14"/>
        <v>4536</v>
      </c>
      <c r="H484" t="s">
        <v>62</v>
      </c>
      <c r="I484">
        <v>840</v>
      </c>
      <c r="J484">
        <f>IF(Table1[[#This Row],[Tickets Sold]]&gt;500,8,5)</f>
        <v>8</v>
      </c>
      <c r="K484">
        <v>731</v>
      </c>
      <c r="L484" t="str">
        <f>VLOOKUP(H484,Descriptions!A:B, 2, FALSE)</f>
        <v>Seating Cat. 1</v>
      </c>
      <c r="M484">
        <f t="shared" ca="1" si="15"/>
        <v>-2284</v>
      </c>
      <c r="O484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17-SC1We -Par2/7</v>
      </c>
    </row>
    <row r="485" spans="1:15" x14ac:dyDescent="0.35">
      <c r="A485" t="s">
        <v>4</v>
      </c>
      <c r="B485" t="s">
        <v>48</v>
      </c>
      <c r="C485" s="1">
        <v>42918</v>
      </c>
      <c r="D485" t="s">
        <v>3</v>
      </c>
      <c r="E485" s="7">
        <v>114</v>
      </c>
      <c r="F485" s="7">
        <f>IFERROR(VLOOKUP(E485,Margins!$A:$B,2,TRUE),"")</f>
        <v>0.15</v>
      </c>
      <c r="G485" s="7">
        <f t="shared" si="14"/>
        <v>8378.9999999999982</v>
      </c>
      <c r="H485" t="s">
        <v>63</v>
      </c>
      <c r="I485">
        <v>490</v>
      </c>
      <c r="J485">
        <f>IF(Table1[[#This Row],[Tickets Sold]]&gt;500,8,5)</f>
        <v>5</v>
      </c>
      <c r="K485">
        <v>437</v>
      </c>
      <c r="L485" t="str">
        <f>VLOOKUP(H485,Descriptions!A:B, 2, FALSE)</f>
        <v>Seating Cat. 2</v>
      </c>
      <c r="M485">
        <f t="shared" ca="1" si="15"/>
        <v>-2284</v>
      </c>
      <c r="O485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17-SC2We -Par2/7</v>
      </c>
    </row>
    <row r="486" spans="1:15" x14ac:dyDescent="0.35">
      <c r="A486" t="s">
        <v>4</v>
      </c>
      <c r="B486" t="s">
        <v>48</v>
      </c>
      <c r="C486" s="1">
        <v>42918</v>
      </c>
      <c r="D486" t="s">
        <v>3</v>
      </c>
      <c r="E486" s="7">
        <v>175</v>
      </c>
      <c r="F486" s="7">
        <f>IFERROR(VLOOKUP(E486,Margins!$A:$B,2,TRUE),"")</f>
        <v>0.15</v>
      </c>
      <c r="G486" s="7">
        <f t="shared" si="14"/>
        <v>10237.5</v>
      </c>
      <c r="H486" t="s">
        <v>64</v>
      </c>
      <c r="I486">
        <v>390</v>
      </c>
      <c r="J486">
        <f>IF(Table1[[#This Row],[Tickets Sold]]&gt;500,8,5)</f>
        <v>5</v>
      </c>
      <c r="K486">
        <v>195</v>
      </c>
      <c r="L486" t="str">
        <f>VLOOKUP(H486,Descriptions!A:B, 2, FALSE)</f>
        <v>Seating Cat. 3</v>
      </c>
      <c r="M486">
        <f t="shared" ca="1" si="15"/>
        <v>-2284</v>
      </c>
      <c r="O486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17-SC3We -Par2/7</v>
      </c>
    </row>
    <row r="487" spans="1:15" x14ac:dyDescent="0.35">
      <c r="A487" t="s">
        <v>4</v>
      </c>
      <c r="B487" t="s">
        <v>48</v>
      </c>
      <c r="C487" s="1">
        <v>42918</v>
      </c>
      <c r="D487" t="s">
        <v>3</v>
      </c>
      <c r="E487" s="7">
        <v>259</v>
      </c>
      <c r="F487" s="7">
        <f>IFERROR(VLOOKUP(E487,Margins!$A:$B,2,TRUE),"")</f>
        <v>0.25</v>
      </c>
      <c r="G487" s="7">
        <f t="shared" si="14"/>
        <v>19425</v>
      </c>
      <c r="H487" t="s">
        <v>65</v>
      </c>
      <c r="I487">
        <v>300</v>
      </c>
      <c r="J487">
        <f>IF(Table1[[#This Row],[Tickets Sold]]&gt;500,8,5)</f>
        <v>5</v>
      </c>
      <c r="K487">
        <v>162</v>
      </c>
      <c r="L487" t="str">
        <f>VLOOKUP(H487,Descriptions!A:B, 2, FALSE)</f>
        <v>Ticket + Air travel Package</v>
      </c>
      <c r="M487">
        <f t="shared" ca="1" si="15"/>
        <v>-2284</v>
      </c>
      <c r="O487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17-TA1We -Par2/7</v>
      </c>
    </row>
    <row r="488" spans="1:15" x14ac:dyDescent="0.35">
      <c r="A488" t="s">
        <v>4</v>
      </c>
      <c r="B488" t="s">
        <v>48</v>
      </c>
      <c r="C488" s="1">
        <v>42918</v>
      </c>
      <c r="D488" t="s">
        <v>3</v>
      </c>
      <c r="E488" s="7">
        <v>351</v>
      </c>
      <c r="F488" s="7">
        <f>IFERROR(VLOOKUP(E488,Margins!$A:$B,2,TRUE),"")</f>
        <v>0.25</v>
      </c>
      <c r="G488" s="7">
        <f t="shared" si="14"/>
        <v>26325</v>
      </c>
      <c r="H488" t="s">
        <v>66</v>
      </c>
      <c r="I488">
        <v>300</v>
      </c>
      <c r="J488">
        <f>IF(Table1[[#This Row],[Tickets Sold]]&gt;500,8,5)</f>
        <v>5</v>
      </c>
      <c r="K488">
        <v>192</v>
      </c>
      <c r="L488" t="str">
        <f>VLOOKUP(H488,Descriptions!A:B, 2, FALSE)</f>
        <v>Ticket + Air travel + Hotel Package</v>
      </c>
      <c r="M488">
        <f t="shared" ca="1" si="15"/>
        <v>-2284</v>
      </c>
      <c r="O488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17-TA2We -Par2/7</v>
      </c>
    </row>
    <row r="489" spans="1:15" x14ac:dyDescent="0.35">
      <c r="A489" t="s">
        <v>4</v>
      </c>
      <c r="B489" t="s">
        <v>48</v>
      </c>
      <c r="C489" s="1">
        <v>42924</v>
      </c>
      <c r="D489" t="s">
        <v>3</v>
      </c>
      <c r="E489" s="7">
        <v>68</v>
      </c>
      <c r="F489" s="7">
        <f>IFERROR(VLOOKUP(E489,Margins!$A:$B,2,TRUE),"")</f>
        <v>0.1</v>
      </c>
      <c r="G489" s="7">
        <f t="shared" si="14"/>
        <v>5712.0000000000009</v>
      </c>
      <c r="H489" t="s">
        <v>62</v>
      </c>
      <c r="I489">
        <v>840</v>
      </c>
      <c r="J489">
        <f>IF(Table1[[#This Row],[Tickets Sold]]&gt;500,8,5)</f>
        <v>8</v>
      </c>
      <c r="K489">
        <v>672</v>
      </c>
      <c r="L489" t="str">
        <f>VLOOKUP(H489,Descriptions!A:B, 2, FALSE)</f>
        <v>Seating Cat. 1</v>
      </c>
      <c r="M489">
        <f t="shared" ca="1" si="15"/>
        <v>-2280</v>
      </c>
      <c r="O489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17-SC1We -Par8/7</v>
      </c>
    </row>
    <row r="490" spans="1:15" x14ac:dyDescent="0.35">
      <c r="A490" t="s">
        <v>4</v>
      </c>
      <c r="B490" t="s">
        <v>48</v>
      </c>
      <c r="C490" s="1">
        <v>42924</v>
      </c>
      <c r="D490" t="s">
        <v>3</v>
      </c>
      <c r="E490" s="7">
        <v>88</v>
      </c>
      <c r="F490" s="7">
        <f>IFERROR(VLOOKUP(E490,Margins!$A:$B,2,TRUE),"")</f>
        <v>0.1</v>
      </c>
      <c r="G490" s="7">
        <f t="shared" si="14"/>
        <v>4312</v>
      </c>
      <c r="H490" t="s">
        <v>63</v>
      </c>
      <c r="I490">
        <v>490</v>
      </c>
      <c r="J490">
        <f>IF(Table1[[#This Row],[Tickets Sold]]&gt;500,8,5)</f>
        <v>5</v>
      </c>
      <c r="K490">
        <v>407</v>
      </c>
      <c r="L490" t="str">
        <f>VLOOKUP(H490,Descriptions!A:B, 2, FALSE)</f>
        <v>Seating Cat. 2</v>
      </c>
      <c r="M490">
        <f t="shared" ca="1" si="15"/>
        <v>-2280</v>
      </c>
      <c r="O490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17-SC2We -Par8/7</v>
      </c>
    </row>
    <row r="491" spans="1:15" x14ac:dyDescent="0.35">
      <c r="A491" t="s">
        <v>4</v>
      </c>
      <c r="B491" t="s">
        <v>48</v>
      </c>
      <c r="C491" s="1">
        <v>42924</v>
      </c>
      <c r="D491" t="s">
        <v>3</v>
      </c>
      <c r="E491" s="7">
        <v>175</v>
      </c>
      <c r="F491" s="7">
        <f>IFERROR(VLOOKUP(E491,Margins!$A:$B,2,TRUE),"")</f>
        <v>0.15</v>
      </c>
      <c r="G491" s="7">
        <f t="shared" si="14"/>
        <v>10237.5</v>
      </c>
      <c r="H491" t="s">
        <v>64</v>
      </c>
      <c r="I491">
        <v>390</v>
      </c>
      <c r="J491">
        <f>IF(Table1[[#This Row],[Tickets Sold]]&gt;500,8,5)</f>
        <v>5</v>
      </c>
      <c r="K491">
        <v>328</v>
      </c>
      <c r="L491" t="str">
        <f>VLOOKUP(H491,Descriptions!A:B, 2, FALSE)</f>
        <v>Seating Cat. 3</v>
      </c>
      <c r="M491">
        <f t="shared" ca="1" si="15"/>
        <v>-2280</v>
      </c>
      <c r="O491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17-SC3We -Par8/7</v>
      </c>
    </row>
    <row r="492" spans="1:15" x14ac:dyDescent="0.35">
      <c r="A492" t="s">
        <v>4</v>
      </c>
      <c r="B492" t="s">
        <v>48</v>
      </c>
      <c r="C492" s="1">
        <v>42924</v>
      </c>
      <c r="D492" t="s">
        <v>3</v>
      </c>
      <c r="E492" s="7">
        <v>212</v>
      </c>
      <c r="F492" s="7">
        <f>IFERROR(VLOOKUP(E492,Margins!$A:$B,2,TRUE),"")</f>
        <v>0.25</v>
      </c>
      <c r="G492" s="7">
        <f t="shared" si="14"/>
        <v>10600</v>
      </c>
      <c r="H492" t="s">
        <v>65</v>
      </c>
      <c r="I492">
        <v>200</v>
      </c>
      <c r="J492">
        <f>IF(Table1[[#This Row],[Tickets Sold]]&gt;500,8,5)</f>
        <v>5</v>
      </c>
      <c r="K492">
        <v>178</v>
      </c>
      <c r="L492" t="str">
        <f>VLOOKUP(H492,Descriptions!A:B, 2, FALSE)</f>
        <v>Ticket + Air travel Package</v>
      </c>
      <c r="M492">
        <f t="shared" ca="1" si="15"/>
        <v>-2280</v>
      </c>
      <c r="O492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17-TA1We -Par8/7</v>
      </c>
    </row>
    <row r="493" spans="1:15" x14ac:dyDescent="0.35">
      <c r="A493" t="s">
        <v>4</v>
      </c>
      <c r="B493" t="s">
        <v>48</v>
      </c>
      <c r="C493" s="1">
        <v>42924</v>
      </c>
      <c r="D493" t="s">
        <v>3</v>
      </c>
      <c r="E493" s="7">
        <v>400</v>
      </c>
      <c r="F493" s="7">
        <f>IFERROR(VLOOKUP(E493,Margins!$A:$B,2,TRUE),"")</f>
        <v>0.4</v>
      </c>
      <c r="G493" s="7">
        <f t="shared" si="14"/>
        <v>64000</v>
      </c>
      <c r="H493" t="s">
        <v>66</v>
      </c>
      <c r="I493">
        <v>400</v>
      </c>
      <c r="J493">
        <f>IF(Table1[[#This Row],[Tickets Sold]]&gt;500,8,5)</f>
        <v>5</v>
      </c>
      <c r="K493">
        <v>356</v>
      </c>
      <c r="L493" t="str">
        <f>VLOOKUP(H493,Descriptions!A:B, 2, FALSE)</f>
        <v>Ticket + Air travel + Hotel Package</v>
      </c>
      <c r="M493">
        <f t="shared" ca="1" si="15"/>
        <v>-2280</v>
      </c>
      <c r="O493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17-TA2We -Par8/7</v>
      </c>
    </row>
  </sheetData>
  <sortState xmlns:xlrd2="http://schemas.microsoft.com/office/spreadsheetml/2017/richdata2" ref="A2:L493">
    <sortCondition ref="A2:A493"/>
    <sortCondition ref="C2:C493"/>
  </sortState>
  <conditionalFormatting sqref="O1:O1048576">
    <cfRule type="expression" dxfId="1" priority="1">
      <formula>AND($K2&gt;=500, $C2&gt;=DATE(2017,7,21))</formula>
    </cfRule>
  </conditionalFormatting>
  <dataValidations count="1">
    <dataValidation type="whole" allowBlank="1" showInputMessage="1" showErrorMessage="1" error=" “Warning! You can only enter a number between 1 and 10”_x000a_" sqref="J1:J1048576" xr:uid="{C5B9C108-DE72-42F5-9657-0C8DC3097810}">
      <formula1>1</formula1>
      <formula2>10</formula2>
    </dataValidation>
  </dataValidations>
  <pageMargins left="0.7" right="0.7" top="0.75" bottom="0.75" header="0.3" footer="0.3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6DC028-0F50-4E2B-B024-3606CB86CE14}">
  <dimension ref="A1:M34"/>
  <sheetViews>
    <sheetView tabSelected="1" topLeftCell="A20" workbookViewId="0">
      <selection activeCell="L33" sqref="A33:L33"/>
    </sheetView>
  </sheetViews>
  <sheetFormatPr defaultRowHeight="14.5" x14ac:dyDescent="0.35"/>
  <cols>
    <col min="1" max="1" width="17.08984375" bestFit="1" customWidth="1"/>
    <col min="2" max="2" width="15.26953125" bestFit="1" customWidth="1"/>
    <col min="3" max="4" width="6.81640625" bestFit="1" customWidth="1"/>
    <col min="5" max="5" width="4.81640625" bestFit="1" customWidth="1"/>
    <col min="6" max="6" width="6.81640625" bestFit="1" customWidth="1"/>
    <col min="7" max="7" width="5.81640625" bestFit="1" customWidth="1"/>
    <col min="8" max="9" width="4.81640625" bestFit="1" customWidth="1"/>
    <col min="10" max="11" width="5.81640625" bestFit="1" customWidth="1"/>
    <col min="12" max="12" width="10.7265625" bestFit="1" customWidth="1"/>
  </cols>
  <sheetData>
    <row r="1" spans="1:13" x14ac:dyDescent="0.35">
      <c r="A1" s="12" t="s">
        <v>40</v>
      </c>
      <c r="B1" s="13" t="s">
        <v>92</v>
      </c>
    </row>
    <row r="3" spans="1:13" x14ac:dyDescent="0.35">
      <c r="A3" s="12" t="s">
        <v>91</v>
      </c>
      <c r="B3" s="12" t="s">
        <v>90</v>
      </c>
      <c r="C3" s="13"/>
      <c r="D3" s="13"/>
      <c r="E3" s="13"/>
      <c r="F3" s="13"/>
      <c r="G3" s="13"/>
      <c r="H3" s="13"/>
      <c r="I3" s="13"/>
      <c r="J3" s="13"/>
      <c r="K3" s="13"/>
      <c r="L3" s="13"/>
    </row>
    <row r="4" spans="1:13" x14ac:dyDescent="0.35">
      <c r="A4" s="12" t="s">
        <v>85</v>
      </c>
      <c r="B4" s="13" t="s">
        <v>68</v>
      </c>
      <c r="C4" s="13" t="s">
        <v>69</v>
      </c>
      <c r="D4" s="13" t="s">
        <v>70</v>
      </c>
      <c r="E4" s="13" t="s">
        <v>11</v>
      </c>
      <c r="F4" s="13" t="s">
        <v>62</v>
      </c>
      <c r="G4" s="13" t="s">
        <v>63</v>
      </c>
      <c r="H4" s="13" t="s">
        <v>64</v>
      </c>
      <c r="I4" s="13" t="s">
        <v>67</v>
      </c>
      <c r="J4" s="13" t="s">
        <v>65</v>
      </c>
      <c r="K4" s="13" t="s">
        <v>66</v>
      </c>
      <c r="L4" s="13" t="s">
        <v>86</v>
      </c>
      <c r="M4" s="10"/>
    </row>
    <row r="5" spans="1:13" x14ac:dyDescent="0.35">
      <c r="A5" s="14" t="s">
        <v>81</v>
      </c>
      <c r="B5" s="15"/>
      <c r="C5" s="15"/>
      <c r="D5" s="15"/>
      <c r="E5" s="15">
        <v>81</v>
      </c>
      <c r="F5" s="15">
        <v>2697</v>
      </c>
      <c r="G5" s="15">
        <v>1644</v>
      </c>
      <c r="H5" s="15">
        <v>876</v>
      </c>
      <c r="I5" s="15">
        <v>214</v>
      </c>
      <c r="J5" s="15">
        <v>1176</v>
      </c>
      <c r="K5" s="15">
        <v>968</v>
      </c>
      <c r="L5" s="15">
        <v>7656</v>
      </c>
      <c r="M5" s="10"/>
    </row>
    <row r="6" spans="1:13" x14ac:dyDescent="0.35">
      <c r="A6" s="16" t="s">
        <v>87</v>
      </c>
      <c r="B6" s="15"/>
      <c r="C6" s="15"/>
      <c r="D6" s="15"/>
      <c r="E6" s="15"/>
      <c r="F6" s="15">
        <v>1125</v>
      </c>
      <c r="G6" s="15">
        <v>687</v>
      </c>
      <c r="H6" s="15">
        <v>532</v>
      </c>
      <c r="I6" s="15">
        <v>98</v>
      </c>
      <c r="J6" s="15">
        <v>489</v>
      </c>
      <c r="K6" s="15">
        <v>395</v>
      </c>
      <c r="L6" s="15">
        <v>3326</v>
      </c>
      <c r="M6" s="10"/>
    </row>
    <row r="7" spans="1:13" x14ac:dyDescent="0.35">
      <c r="A7" s="16" t="s">
        <v>88</v>
      </c>
      <c r="B7" s="15"/>
      <c r="C7" s="15"/>
      <c r="D7" s="15"/>
      <c r="E7" s="15"/>
      <c r="F7" s="15">
        <v>570</v>
      </c>
      <c r="G7" s="15">
        <v>353</v>
      </c>
      <c r="H7" s="15">
        <v>160</v>
      </c>
      <c r="I7" s="15">
        <v>35</v>
      </c>
      <c r="J7" s="15">
        <v>246</v>
      </c>
      <c r="K7" s="15">
        <v>186</v>
      </c>
      <c r="L7" s="15">
        <v>1550</v>
      </c>
      <c r="M7" s="10"/>
    </row>
    <row r="8" spans="1:13" x14ac:dyDescent="0.35">
      <c r="A8" s="16" t="s">
        <v>89</v>
      </c>
      <c r="B8" s="15"/>
      <c r="C8" s="15"/>
      <c r="D8" s="15"/>
      <c r="E8" s="15">
        <v>81</v>
      </c>
      <c r="F8" s="15">
        <v>1002</v>
      </c>
      <c r="G8" s="15">
        <v>604</v>
      </c>
      <c r="H8" s="15">
        <v>184</v>
      </c>
      <c r="I8" s="15">
        <v>81</v>
      </c>
      <c r="J8" s="15">
        <v>441</v>
      </c>
      <c r="K8" s="15">
        <v>387</v>
      </c>
      <c r="L8" s="15">
        <v>2780</v>
      </c>
      <c r="M8" s="10"/>
    </row>
    <row r="9" spans="1:13" x14ac:dyDescent="0.35">
      <c r="A9" s="14" t="s">
        <v>80</v>
      </c>
      <c r="B9" s="15"/>
      <c r="C9" s="15"/>
      <c r="D9" s="15"/>
      <c r="E9" s="15">
        <v>201</v>
      </c>
      <c r="F9" s="15">
        <v>6193</v>
      </c>
      <c r="G9" s="15">
        <v>1861</v>
      </c>
      <c r="H9" s="15">
        <v>863</v>
      </c>
      <c r="I9" s="15">
        <v>168</v>
      </c>
      <c r="J9" s="15">
        <v>1152</v>
      </c>
      <c r="K9" s="15">
        <v>1112</v>
      </c>
      <c r="L9" s="15">
        <v>11550</v>
      </c>
      <c r="M9" s="10"/>
    </row>
    <row r="10" spans="1:13" x14ac:dyDescent="0.35">
      <c r="A10" s="16" t="s">
        <v>87</v>
      </c>
      <c r="B10" s="15"/>
      <c r="C10" s="15"/>
      <c r="D10" s="15"/>
      <c r="E10" s="15">
        <v>94</v>
      </c>
      <c r="F10" s="15">
        <v>3049</v>
      </c>
      <c r="G10" s="15">
        <v>628</v>
      </c>
      <c r="H10" s="15">
        <v>264</v>
      </c>
      <c r="I10" s="15">
        <v>49</v>
      </c>
      <c r="J10" s="15">
        <v>264</v>
      </c>
      <c r="K10" s="15">
        <v>164</v>
      </c>
      <c r="L10" s="15">
        <v>4512</v>
      </c>
      <c r="M10" s="10"/>
    </row>
    <row r="11" spans="1:13" x14ac:dyDescent="0.35">
      <c r="A11" s="16" t="s">
        <v>88</v>
      </c>
      <c r="B11" s="15"/>
      <c r="C11" s="15"/>
      <c r="D11" s="15"/>
      <c r="E11" s="15">
        <v>107</v>
      </c>
      <c r="F11" s="15">
        <v>2147</v>
      </c>
      <c r="G11" s="15">
        <v>953</v>
      </c>
      <c r="H11" s="15">
        <v>400</v>
      </c>
      <c r="I11" s="15">
        <v>69</v>
      </c>
      <c r="J11" s="15">
        <v>720</v>
      </c>
      <c r="K11" s="15">
        <v>756</v>
      </c>
      <c r="L11" s="15">
        <v>5152</v>
      </c>
      <c r="M11" s="10"/>
    </row>
    <row r="12" spans="1:13" x14ac:dyDescent="0.35">
      <c r="A12" s="16" t="s">
        <v>89</v>
      </c>
      <c r="B12" s="15"/>
      <c r="C12" s="15"/>
      <c r="D12" s="15"/>
      <c r="E12" s="15"/>
      <c r="F12" s="15">
        <v>997</v>
      </c>
      <c r="G12" s="15">
        <v>280</v>
      </c>
      <c r="H12" s="15">
        <v>199</v>
      </c>
      <c r="I12" s="15">
        <v>50</v>
      </c>
      <c r="J12" s="15">
        <v>168</v>
      </c>
      <c r="K12" s="15">
        <v>192</v>
      </c>
      <c r="L12" s="15">
        <v>1886</v>
      </c>
      <c r="M12" s="10"/>
    </row>
    <row r="13" spans="1:13" x14ac:dyDescent="0.35">
      <c r="A13" s="14" t="s">
        <v>79</v>
      </c>
      <c r="B13" s="15">
        <v>229484</v>
      </c>
      <c r="C13" s="15"/>
      <c r="D13" s="15"/>
      <c r="E13" s="15"/>
      <c r="F13" s="15">
        <v>16190</v>
      </c>
      <c r="G13" s="15">
        <v>3584</v>
      </c>
      <c r="H13" s="15"/>
      <c r="I13" s="15"/>
      <c r="J13" s="15">
        <v>4318</v>
      </c>
      <c r="K13" s="15">
        <v>4308</v>
      </c>
      <c r="L13" s="15">
        <v>257884</v>
      </c>
      <c r="M13" s="10"/>
    </row>
    <row r="14" spans="1:13" x14ac:dyDescent="0.35">
      <c r="A14" s="16" t="s">
        <v>87</v>
      </c>
      <c r="B14" s="15">
        <v>42043</v>
      </c>
      <c r="C14" s="15"/>
      <c r="D14" s="15"/>
      <c r="E14" s="15"/>
      <c r="F14" s="15">
        <v>3497</v>
      </c>
      <c r="G14" s="15">
        <v>540</v>
      </c>
      <c r="H14" s="15"/>
      <c r="I14" s="15"/>
      <c r="J14" s="15">
        <v>701</v>
      </c>
      <c r="K14" s="15">
        <v>556</v>
      </c>
      <c r="L14" s="15">
        <v>47337</v>
      </c>
      <c r="M14" s="10"/>
    </row>
    <row r="15" spans="1:13" x14ac:dyDescent="0.35">
      <c r="A15" s="16" t="s">
        <v>88</v>
      </c>
      <c r="B15" s="15">
        <v>81821</v>
      </c>
      <c r="C15" s="15"/>
      <c r="D15" s="15"/>
      <c r="E15" s="15"/>
      <c r="F15" s="15">
        <v>6194</v>
      </c>
      <c r="G15" s="15">
        <v>2454</v>
      </c>
      <c r="H15" s="15"/>
      <c r="I15" s="15"/>
      <c r="J15" s="15">
        <v>1887</v>
      </c>
      <c r="K15" s="15">
        <v>1619</v>
      </c>
      <c r="L15" s="15">
        <v>93975</v>
      </c>
      <c r="M15" s="10"/>
    </row>
    <row r="16" spans="1:13" x14ac:dyDescent="0.35">
      <c r="A16" s="16" t="s">
        <v>89</v>
      </c>
      <c r="B16" s="15">
        <v>105620</v>
      </c>
      <c r="C16" s="15"/>
      <c r="D16" s="15"/>
      <c r="E16" s="15"/>
      <c r="F16" s="15">
        <v>6499</v>
      </c>
      <c r="G16" s="15">
        <v>590</v>
      </c>
      <c r="H16" s="15"/>
      <c r="I16" s="15"/>
      <c r="J16" s="15">
        <v>1730</v>
      </c>
      <c r="K16" s="15">
        <v>2133</v>
      </c>
      <c r="L16" s="15">
        <v>116572</v>
      </c>
      <c r="M16" s="10"/>
    </row>
    <row r="17" spans="1:13" x14ac:dyDescent="0.35">
      <c r="A17" s="14" t="s">
        <v>29</v>
      </c>
      <c r="B17" s="15">
        <v>1299300</v>
      </c>
      <c r="C17" s="15">
        <v>206000</v>
      </c>
      <c r="D17" s="15">
        <v>160500</v>
      </c>
      <c r="E17" s="15">
        <v>323</v>
      </c>
      <c r="F17" s="15">
        <v>39342</v>
      </c>
      <c r="G17" s="15">
        <v>3606</v>
      </c>
      <c r="H17" s="15">
        <v>255</v>
      </c>
      <c r="I17" s="15">
        <v>1107</v>
      </c>
      <c r="J17" s="15">
        <v>3595</v>
      </c>
      <c r="K17" s="15">
        <v>2924</v>
      </c>
      <c r="L17" s="15">
        <v>1716952</v>
      </c>
      <c r="M17" s="10"/>
    </row>
    <row r="18" spans="1:13" x14ac:dyDescent="0.35">
      <c r="A18" s="16" t="s">
        <v>87</v>
      </c>
      <c r="B18" s="15">
        <v>328850</v>
      </c>
      <c r="C18" s="15"/>
      <c r="D18" s="15">
        <v>127500</v>
      </c>
      <c r="E18" s="15"/>
      <c r="F18" s="15">
        <v>11681</v>
      </c>
      <c r="G18" s="15">
        <v>1410</v>
      </c>
      <c r="H18" s="15">
        <v>255</v>
      </c>
      <c r="I18" s="15">
        <v>275</v>
      </c>
      <c r="J18" s="15">
        <v>797</v>
      </c>
      <c r="K18" s="15">
        <v>714</v>
      </c>
      <c r="L18" s="15">
        <v>471482</v>
      </c>
      <c r="M18" s="10"/>
    </row>
    <row r="19" spans="1:13" x14ac:dyDescent="0.35">
      <c r="A19" s="16" t="s">
        <v>88</v>
      </c>
      <c r="B19" s="15">
        <v>817950</v>
      </c>
      <c r="C19" s="15">
        <v>206000</v>
      </c>
      <c r="D19" s="15">
        <v>33000</v>
      </c>
      <c r="E19" s="15">
        <v>323</v>
      </c>
      <c r="F19" s="15">
        <v>22083</v>
      </c>
      <c r="G19" s="15">
        <v>1952</v>
      </c>
      <c r="H19" s="15"/>
      <c r="I19" s="15">
        <v>771</v>
      </c>
      <c r="J19" s="15">
        <v>2276</v>
      </c>
      <c r="K19" s="15">
        <v>1745</v>
      </c>
      <c r="L19" s="15">
        <v>1086100</v>
      </c>
      <c r="M19" s="10"/>
    </row>
    <row r="20" spans="1:13" x14ac:dyDescent="0.35">
      <c r="A20" s="16" t="s">
        <v>89</v>
      </c>
      <c r="B20" s="15">
        <v>152500</v>
      </c>
      <c r="C20" s="15"/>
      <c r="D20" s="15"/>
      <c r="E20" s="15"/>
      <c r="F20" s="15">
        <v>5578</v>
      </c>
      <c r="G20" s="15">
        <v>244</v>
      </c>
      <c r="H20" s="15"/>
      <c r="I20" s="15">
        <v>61</v>
      </c>
      <c r="J20" s="15">
        <v>522</v>
      </c>
      <c r="K20" s="15">
        <v>465</v>
      </c>
      <c r="L20" s="15">
        <v>159370</v>
      </c>
      <c r="M20" s="10"/>
    </row>
    <row r="21" spans="1:13" x14ac:dyDescent="0.35">
      <c r="A21" s="14" t="s">
        <v>3</v>
      </c>
      <c r="B21" s="15">
        <v>27437</v>
      </c>
      <c r="C21" s="15"/>
      <c r="D21" s="15"/>
      <c r="E21" s="15">
        <v>199</v>
      </c>
      <c r="F21" s="15">
        <v>14443</v>
      </c>
      <c r="G21" s="15">
        <v>8611</v>
      </c>
      <c r="H21" s="15">
        <v>1637</v>
      </c>
      <c r="I21" s="15"/>
      <c r="J21" s="15">
        <v>2559</v>
      </c>
      <c r="K21" s="15">
        <v>2725</v>
      </c>
      <c r="L21" s="15">
        <v>57611</v>
      </c>
      <c r="M21" s="10"/>
    </row>
    <row r="22" spans="1:13" x14ac:dyDescent="0.35">
      <c r="A22" s="16" t="s">
        <v>87</v>
      </c>
      <c r="B22" s="15">
        <v>17689</v>
      </c>
      <c r="C22" s="15"/>
      <c r="D22" s="15"/>
      <c r="E22" s="15"/>
      <c r="F22" s="15">
        <v>5096</v>
      </c>
      <c r="G22" s="15">
        <v>3592</v>
      </c>
      <c r="H22" s="15">
        <v>1114</v>
      </c>
      <c r="I22" s="15"/>
      <c r="J22" s="15">
        <v>1100</v>
      </c>
      <c r="K22" s="15">
        <v>1178</v>
      </c>
      <c r="L22" s="15">
        <v>29769</v>
      </c>
      <c r="M22" s="10"/>
    </row>
    <row r="23" spans="1:13" x14ac:dyDescent="0.35">
      <c r="A23" s="16" t="s">
        <v>88</v>
      </c>
      <c r="B23" s="15">
        <v>9748</v>
      </c>
      <c r="C23" s="15"/>
      <c r="D23" s="15"/>
      <c r="E23" s="15">
        <v>87</v>
      </c>
      <c r="F23" s="15">
        <v>4843</v>
      </c>
      <c r="G23" s="15">
        <v>2889</v>
      </c>
      <c r="H23" s="15">
        <v>523</v>
      </c>
      <c r="I23" s="15"/>
      <c r="J23" s="15">
        <v>496</v>
      </c>
      <c r="K23" s="15">
        <v>743</v>
      </c>
      <c r="L23" s="15">
        <v>19329</v>
      </c>
      <c r="M23" s="10"/>
    </row>
    <row r="24" spans="1:13" x14ac:dyDescent="0.35">
      <c r="A24" s="16" t="s">
        <v>89</v>
      </c>
      <c r="B24" s="15"/>
      <c r="C24" s="15"/>
      <c r="D24" s="15"/>
      <c r="E24" s="15">
        <v>112</v>
      </c>
      <c r="F24" s="15">
        <v>4504</v>
      </c>
      <c r="G24" s="15">
        <v>2130</v>
      </c>
      <c r="H24" s="15"/>
      <c r="I24" s="15"/>
      <c r="J24" s="15">
        <v>963</v>
      </c>
      <c r="K24" s="15">
        <v>804</v>
      </c>
      <c r="L24" s="15">
        <v>8513</v>
      </c>
      <c r="M24" s="10"/>
    </row>
    <row r="25" spans="1:13" x14ac:dyDescent="0.35">
      <c r="A25" s="14" t="s">
        <v>20</v>
      </c>
      <c r="B25" s="15"/>
      <c r="C25" s="15"/>
      <c r="D25" s="15"/>
      <c r="E25" s="15">
        <v>414</v>
      </c>
      <c r="F25" s="15">
        <v>26883</v>
      </c>
      <c r="G25" s="15">
        <v>9213</v>
      </c>
      <c r="H25" s="15">
        <v>3670</v>
      </c>
      <c r="I25" s="15">
        <v>127</v>
      </c>
      <c r="J25" s="15">
        <v>2677</v>
      </c>
      <c r="K25" s="15">
        <v>2699</v>
      </c>
      <c r="L25" s="15">
        <v>45683</v>
      </c>
      <c r="M25" s="10"/>
    </row>
    <row r="26" spans="1:13" x14ac:dyDescent="0.35">
      <c r="A26" s="16" t="s">
        <v>87</v>
      </c>
      <c r="B26" s="15"/>
      <c r="C26" s="15"/>
      <c r="D26" s="15"/>
      <c r="E26" s="15">
        <v>55</v>
      </c>
      <c r="F26" s="15">
        <v>9370</v>
      </c>
      <c r="G26" s="15">
        <v>3411</v>
      </c>
      <c r="H26" s="15">
        <v>1416</v>
      </c>
      <c r="I26" s="15"/>
      <c r="J26" s="15">
        <v>865</v>
      </c>
      <c r="K26" s="15">
        <v>921</v>
      </c>
      <c r="L26" s="15">
        <v>16038</v>
      </c>
      <c r="M26" s="10"/>
    </row>
    <row r="27" spans="1:13" x14ac:dyDescent="0.35">
      <c r="A27" s="16" t="s">
        <v>88</v>
      </c>
      <c r="B27" s="15"/>
      <c r="C27" s="15"/>
      <c r="D27" s="15"/>
      <c r="E27" s="15">
        <v>90</v>
      </c>
      <c r="F27" s="15">
        <v>10395</v>
      </c>
      <c r="G27" s="15">
        <v>3551</v>
      </c>
      <c r="H27" s="15">
        <v>932</v>
      </c>
      <c r="I27" s="15">
        <v>76</v>
      </c>
      <c r="J27" s="15">
        <v>604</v>
      </c>
      <c r="K27" s="15">
        <v>689</v>
      </c>
      <c r="L27" s="15">
        <v>16337</v>
      </c>
      <c r="M27" s="10"/>
    </row>
    <row r="28" spans="1:13" x14ac:dyDescent="0.35">
      <c r="A28" s="16" t="s">
        <v>89</v>
      </c>
      <c r="B28" s="15"/>
      <c r="C28" s="15"/>
      <c r="D28" s="15"/>
      <c r="E28" s="15">
        <v>269</v>
      </c>
      <c r="F28" s="15">
        <v>7118</v>
      </c>
      <c r="G28" s="15">
        <v>2251</v>
      </c>
      <c r="H28" s="15">
        <v>1322</v>
      </c>
      <c r="I28" s="15">
        <v>51</v>
      </c>
      <c r="J28" s="15">
        <v>1208</v>
      </c>
      <c r="K28" s="15">
        <v>1089</v>
      </c>
      <c r="L28" s="15">
        <v>13308</v>
      </c>
      <c r="M28" s="10"/>
    </row>
    <row r="29" spans="1:13" x14ac:dyDescent="0.35">
      <c r="A29" s="14" t="s">
        <v>82</v>
      </c>
      <c r="B29" s="15"/>
      <c r="C29" s="15"/>
      <c r="D29" s="15"/>
      <c r="E29" s="15">
        <v>229</v>
      </c>
      <c r="F29" s="15">
        <v>7016</v>
      </c>
      <c r="G29" s="15">
        <v>1573</v>
      </c>
      <c r="H29" s="15">
        <v>489</v>
      </c>
      <c r="I29" s="15">
        <v>184</v>
      </c>
      <c r="J29" s="15">
        <v>2129</v>
      </c>
      <c r="K29" s="15">
        <v>1997</v>
      </c>
      <c r="L29" s="15">
        <v>13617</v>
      </c>
      <c r="M29" s="10"/>
    </row>
    <row r="30" spans="1:13" x14ac:dyDescent="0.35">
      <c r="A30" s="16" t="s">
        <v>87</v>
      </c>
      <c r="B30" s="15"/>
      <c r="C30" s="15"/>
      <c r="D30" s="15"/>
      <c r="E30" s="15">
        <v>140</v>
      </c>
      <c r="F30" s="15">
        <v>3331</v>
      </c>
      <c r="G30" s="15">
        <v>413</v>
      </c>
      <c r="H30" s="15"/>
      <c r="I30" s="15">
        <v>91</v>
      </c>
      <c r="J30" s="15">
        <v>776</v>
      </c>
      <c r="K30" s="15">
        <v>815</v>
      </c>
      <c r="L30" s="15">
        <v>5566</v>
      </c>
      <c r="M30" s="10"/>
    </row>
    <row r="31" spans="1:13" x14ac:dyDescent="0.35">
      <c r="A31" s="16" t="s">
        <v>88</v>
      </c>
      <c r="B31" s="15"/>
      <c r="C31" s="15"/>
      <c r="D31" s="15"/>
      <c r="E31" s="15">
        <v>89</v>
      </c>
      <c r="F31" s="15">
        <v>2779</v>
      </c>
      <c r="G31" s="15">
        <v>912</v>
      </c>
      <c r="H31" s="15">
        <v>489</v>
      </c>
      <c r="I31" s="15">
        <v>93</v>
      </c>
      <c r="J31" s="15">
        <v>1077</v>
      </c>
      <c r="K31" s="15">
        <v>942</v>
      </c>
      <c r="L31" s="15">
        <v>6381</v>
      </c>
      <c r="M31" s="10"/>
    </row>
    <row r="32" spans="1:13" x14ac:dyDescent="0.35">
      <c r="A32" s="16" t="s">
        <v>89</v>
      </c>
      <c r="B32" s="15"/>
      <c r="C32" s="15"/>
      <c r="D32" s="15"/>
      <c r="E32" s="15"/>
      <c r="F32" s="15">
        <v>906</v>
      </c>
      <c r="G32" s="15">
        <v>248</v>
      </c>
      <c r="H32" s="15"/>
      <c r="I32" s="15"/>
      <c r="J32" s="15">
        <v>276</v>
      </c>
      <c r="K32" s="15">
        <v>240</v>
      </c>
      <c r="L32" s="15">
        <v>1670</v>
      </c>
      <c r="M32" s="10"/>
    </row>
    <row r="33" spans="1:13" x14ac:dyDescent="0.35">
      <c r="A33" s="23" t="s">
        <v>86</v>
      </c>
      <c r="B33" s="24">
        <v>1556221</v>
      </c>
      <c r="C33" s="24">
        <v>206000</v>
      </c>
      <c r="D33" s="24">
        <v>160500</v>
      </c>
      <c r="E33" s="24">
        <v>1447</v>
      </c>
      <c r="F33" s="24">
        <v>112764</v>
      </c>
      <c r="G33" s="24">
        <v>30092</v>
      </c>
      <c r="H33" s="24">
        <v>7790</v>
      </c>
      <c r="I33" s="24">
        <v>1800</v>
      </c>
      <c r="J33" s="24">
        <v>17606</v>
      </c>
      <c r="K33" s="24">
        <v>16733</v>
      </c>
      <c r="L33" s="24">
        <v>2110953</v>
      </c>
      <c r="M33" s="10"/>
    </row>
    <row r="34" spans="1:13" x14ac:dyDescent="0.35">
      <c r="M34" s="1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AB9BB5-83B7-46F4-9D77-B781E884635B}">
  <dimension ref="A1:C9"/>
  <sheetViews>
    <sheetView workbookViewId="0">
      <selection activeCell="C9" sqref="A9:C9"/>
    </sheetView>
  </sheetViews>
  <sheetFormatPr defaultRowHeight="14.5" x14ac:dyDescent="0.35"/>
  <cols>
    <col min="2" max="2" width="18.6328125" bestFit="1" customWidth="1"/>
    <col min="3" max="3" width="17.54296875" bestFit="1" customWidth="1"/>
  </cols>
  <sheetData>
    <row r="1" spans="1:3" ht="15" thickBot="1" x14ac:dyDescent="0.4">
      <c r="A1" s="21" t="s">
        <v>42</v>
      </c>
      <c r="B1" s="21" t="s">
        <v>97</v>
      </c>
      <c r="C1" s="21" t="s">
        <v>98</v>
      </c>
    </row>
    <row r="2" spans="1:3" ht="15" thickBot="1" x14ac:dyDescent="0.4">
      <c r="A2" s="22" t="s">
        <v>20</v>
      </c>
      <c r="B2" s="22" cm="1">
        <f t="array" ref="B2">IFERROR(SUMPRODUCT((Events!$D$2:$D$493="Opera")*(MONTH(Events!$C$2:$C$493)=7)*Events!$K$2:$K$493)/SUMPRODUCT((Events!$D$2:$D$493="Opera")*(MONTH(Events!$C$2:$C$493)=7)*Events!$I$2:$I$493),"")</f>
        <v>0.75466555801921653</v>
      </c>
      <c r="C2" s="22" cm="1">
        <f t="array" ref="C2">SUMPRODUCT((Events!$D$2:$D$493="Opera")*(MONTH(Events!$C$2:$C$493)=7)*IF(ISNUMBER(Events!$G$2:$G$493),Events!$G$2:$G$493,0))</f>
        <v>290221.80000000005</v>
      </c>
    </row>
    <row r="3" spans="1:3" ht="15" thickBot="1" x14ac:dyDescent="0.4">
      <c r="A3" s="22" t="s">
        <v>3</v>
      </c>
      <c r="B3" s="22" cm="1">
        <f t="array" ref="B3">IFERROR(SUMPRODUCT((Events!$D$2:$D$493="Musical")*(MONTH(Events!$C$2:$C$493)=7)*Events!$K$2:$K$493)/SUMPRODUCT((Events!$D$2:$D$493="Musical")*(MONTH(Events!$C$2:$C$493)=7)*Events!$I$2:$I$493),"")</f>
        <v>0.78005569232010974</v>
      </c>
      <c r="C3" s="22" cm="1">
        <f t="array" ref="C3">SUMPRODUCT((Events!$D$2:$D$493="Musical")*(MONTH(Events!$C$2:$C$493)=7)*IF(ISNUMBER(Events!$G$2:$G$493),Events!$G$2:$G$493,0))</f>
        <v>324954.62</v>
      </c>
    </row>
    <row r="4" spans="1:3" ht="15" thickBot="1" x14ac:dyDescent="0.4">
      <c r="A4" s="22" t="s">
        <v>79</v>
      </c>
      <c r="B4" s="22" cm="1">
        <f t="array" ref="B4">IFERROR(SUMPRODUCT((Events!$D$2:$D$493="Concert")*(MONTH(Events!$C$2:$C$493)=7)*Events!$K$2:$K$493)/SUMPRODUCT((Events!$D$2:$D$493="Concert")*(MONTH(Events!$C$2:$C$493)=7)*Events!$I$2:$I$493),"")</f>
        <v>0.68882992369545615</v>
      </c>
      <c r="C4" s="22" cm="1">
        <f t="array" ref="C4">SUMPRODUCT((Events!$D$2:$D$493="Concert")*(MONTH(Events!$C$2:$C$493)=7)*IF(ISNUMBER(Events!$G$2:$G$493),Events!$G$2:$G$493,0))</f>
        <v>1094070.81</v>
      </c>
    </row>
    <row r="5" spans="1:3" ht="15" thickBot="1" x14ac:dyDescent="0.4">
      <c r="A5" s="22" t="s">
        <v>29</v>
      </c>
      <c r="B5" s="22" cm="1">
        <f t="array" ref="B5">IFERROR(SUMPRODUCT((Events!$D$2:$D$493="Festival")*(MONTH(Events!$C$2:$C$493)=7)*Events!$K$2:$K$493)/SUMPRODUCT((Events!$D$2:$D$493="Festival")*(MONTH(Events!$C$2:$C$493)=7)*Events!$I$2:$I$493),"")</f>
        <v>0.73093649513897951</v>
      </c>
      <c r="C5" s="22" cm="1">
        <f t="array" ref="C5">SUMPRODUCT((Events!$D$2:$D$493="Festival")*(MONTH(Events!$C$2:$C$493)=7)*IF(ISNUMBER(Events!$G$2:$G$493),Events!$G$2:$G$493,0))</f>
        <v>9832497.1699999999</v>
      </c>
    </row>
    <row r="6" spans="1:3" ht="15" thickBot="1" x14ac:dyDescent="0.4">
      <c r="A6" s="22" t="s">
        <v>80</v>
      </c>
      <c r="B6" s="22" cm="1">
        <f t="array" ref="B6">IFERROR(SUMPRODUCT((Events!$D$2:$D$493="Classical")*(MONTH(Events!$C$2:$C$493)=7)*Events!$K$2:$K$493)/SUMPRODUCT((Events!$D$2:$D$493="Classical")*(MONTH(Events!$C$2:$C$493)=7)*Events!$I$2:$I$493),"")</f>
        <v>0.71013094417643008</v>
      </c>
      <c r="C6" s="22" cm="1">
        <f t="array" ref="C6">SUMPRODUCT((Events!$D$2:$D$493="Classical")*(MONTH(Events!$C$2:$C$493)=7)*IF(ISNUMBER(Events!$G$2:$G$493),Events!$G$2:$G$493,0))</f>
        <v>170351.8</v>
      </c>
    </row>
    <row r="7" spans="1:3" ht="15" thickBot="1" x14ac:dyDescent="0.4">
      <c r="A7" s="22" t="s">
        <v>81</v>
      </c>
      <c r="B7" s="22" cm="1">
        <f t="array" ref="B7">IFERROR(SUMPRODUCT((Events!$D$2:$D$493="Ballet")*(MONTH(Events!$C$2:$C$493)=7)*Events!$K$2:$K$493)/SUMPRODUCT((Events!$D$2:$D$493="Ballet")*(MONTH(Events!$C$2:$C$493)=7)*Events!$I$2:$I$493),"")</f>
        <v>0.76317085179714428</v>
      </c>
      <c r="C7" s="22" cm="1">
        <f t="array" ref="C7">SUMPRODUCT((Events!$D$2:$D$493="Ballet")*(MONTH(Events!$C$2:$C$493)=7)*IF(ISNUMBER(Events!$G$2:$G$493),Events!$G$2:$G$493,0))</f>
        <v>56431.11</v>
      </c>
    </row>
    <row r="8" spans="1:3" ht="15" thickBot="1" x14ac:dyDescent="0.4">
      <c r="A8" s="22" t="s">
        <v>99</v>
      </c>
      <c r="B8" s="22" cm="1">
        <f t="array" ref="B8">IFERROR(SUMPRODUCT((Events!$D$2:$D$493="Theatre")*(MONTH(Events!$C$2:$C$493)=7)*Events!$K$2:$K$493)/SUMPRODUCT((Events!$D$2:$D$493="Theatre")*(MONTH(Events!$C$2:$C$493)=7)*Events!$I$2:$I$493),"")</f>
        <v>0.7145576707726764</v>
      </c>
      <c r="C8" s="22" cm="1">
        <f t="array" ref="C8">SUMPRODUCT((Events!$D$2:$D$493="Theatre")*(MONTH(Events!$C$2:$C$493)=7)*IF(ISNUMBER(Events!$G$2:$G$493),Events!$G$2:$G$493,0))</f>
        <v>246292.1</v>
      </c>
    </row>
    <row r="9" spans="1:3" x14ac:dyDescent="0.35">
      <c r="A9" s="25" t="s">
        <v>100</v>
      </c>
      <c r="B9" s="25" cm="1">
        <f t="array" ref="B9">IFERROR(SUMPRODUCT((MONTH(Events!$C$2:$C$493)=7)*Events!$K$2:$K$493)/SUMPRODUCT((MONTH(Events!$C$2:$C$493)=7)*Events!$I$2:$I$493),"")</f>
        <v>0.72841991449769172</v>
      </c>
      <c r="C9" s="25">
        <f>SUM(C2:C8)</f>
        <v>12014819.41</v>
      </c>
    </row>
  </sheetData>
  <phoneticPr fontId="4" type="noConversion"/>
  <pageMargins left="0.7" right="0.7" top="0.75" bottom="0.75" header="0.3" footer="0.3"/>
  <pageSetup orientation="portrait"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1"/>
  <sheetViews>
    <sheetView workbookViewId="0"/>
  </sheetViews>
  <sheetFormatPr defaultRowHeight="14.5" x14ac:dyDescent="0.35"/>
  <cols>
    <col min="2" max="2" width="33.1796875" bestFit="1" customWidth="1"/>
    <col min="6" max="6" width="14" bestFit="1" customWidth="1"/>
    <col min="8" max="8" width="19.7265625" bestFit="1" customWidth="1"/>
  </cols>
  <sheetData>
    <row r="1" spans="1:2" x14ac:dyDescent="0.35">
      <c r="A1" s="2" t="s">
        <v>57</v>
      </c>
      <c r="B1" s="2" t="s">
        <v>58</v>
      </c>
    </row>
    <row r="2" spans="1:2" x14ac:dyDescent="0.35">
      <c r="A2" t="s">
        <v>65</v>
      </c>
      <c r="B2" t="s">
        <v>59</v>
      </c>
    </row>
    <row r="3" spans="1:2" x14ac:dyDescent="0.35">
      <c r="A3" t="s">
        <v>66</v>
      </c>
      <c r="B3" t="s">
        <v>60</v>
      </c>
    </row>
    <row r="4" spans="1:2" x14ac:dyDescent="0.35">
      <c r="A4" t="s">
        <v>68</v>
      </c>
      <c r="B4" t="s">
        <v>71</v>
      </c>
    </row>
    <row r="5" spans="1:2" x14ac:dyDescent="0.35">
      <c r="A5" t="s">
        <v>69</v>
      </c>
      <c r="B5" t="s">
        <v>72</v>
      </c>
    </row>
    <row r="6" spans="1:2" x14ac:dyDescent="0.35">
      <c r="A6" t="s">
        <v>70</v>
      </c>
      <c r="B6" t="s">
        <v>73</v>
      </c>
    </row>
    <row r="7" spans="1:2" x14ac:dyDescent="0.35">
      <c r="A7" t="s">
        <v>62</v>
      </c>
      <c r="B7" s="4" t="s">
        <v>74</v>
      </c>
    </row>
    <row r="8" spans="1:2" x14ac:dyDescent="0.35">
      <c r="A8" t="s">
        <v>63</v>
      </c>
      <c r="B8" s="4" t="s">
        <v>75</v>
      </c>
    </row>
    <row r="9" spans="1:2" x14ac:dyDescent="0.35">
      <c r="A9" t="s">
        <v>64</v>
      </c>
      <c r="B9" s="4" t="s">
        <v>76</v>
      </c>
    </row>
    <row r="10" spans="1:2" x14ac:dyDescent="0.35">
      <c r="A10" t="s">
        <v>67</v>
      </c>
      <c r="B10" s="4" t="s">
        <v>77</v>
      </c>
    </row>
    <row r="11" spans="1:2" x14ac:dyDescent="0.35">
      <c r="A11" t="s">
        <v>11</v>
      </c>
      <c r="B11" t="s">
        <v>61</v>
      </c>
    </row>
  </sheetData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6"/>
  <sheetViews>
    <sheetView workbookViewId="0">
      <selection activeCell="C1" sqref="C1"/>
    </sheetView>
  </sheetViews>
  <sheetFormatPr defaultRowHeight="14.5" x14ac:dyDescent="0.35"/>
  <cols>
    <col min="1" max="1" width="15.81640625" customWidth="1"/>
    <col min="2" max="2" width="22" style="19" customWidth="1"/>
  </cols>
  <sheetData>
    <row r="1" spans="1:2" ht="29" x14ac:dyDescent="0.35">
      <c r="A1" s="20" t="s">
        <v>43</v>
      </c>
      <c r="B1" s="17" t="s">
        <v>78</v>
      </c>
    </row>
    <row r="2" spans="1:2" x14ac:dyDescent="0.35">
      <c r="A2" s="6">
        <v>0</v>
      </c>
      <c r="B2" s="18">
        <v>7.0000000000000007E-2</v>
      </c>
    </row>
    <row r="3" spans="1:2" x14ac:dyDescent="0.35">
      <c r="A3" s="6">
        <v>50</v>
      </c>
      <c r="B3" s="18">
        <v>0.1</v>
      </c>
    </row>
    <row r="4" spans="1:2" x14ac:dyDescent="0.35">
      <c r="A4" s="6">
        <v>100</v>
      </c>
      <c r="B4" s="18">
        <v>0.15</v>
      </c>
    </row>
    <row r="5" spans="1:2" x14ac:dyDescent="0.35">
      <c r="A5" s="6">
        <v>200</v>
      </c>
      <c r="B5" s="18">
        <v>0.25</v>
      </c>
    </row>
    <row r="6" spans="1:2" x14ac:dyDescent="0.35">
      <c r="A6" s="6">
        <v>400</v>
      </c>
      <c r="B6" s="18">
        <v>0.4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Events</vt:lpstr>
      <vt:lpstr>Pivot</vt:lpstr>
      <vt:lpstr>Calculation </vt:lpstr>
      <vt:lpstr>Descriptions</vt:lpstr>
      <vt:lpstr>Margins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2006-09-25T09:17:32Z</dcterms:created>
  <dcterms:modified xsi:type="dcterms:W3CDTF">2026-04-02T08:09:46Z</dcterms:modified>
</cp:coreProperties>
</file>